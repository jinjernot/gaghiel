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00000000-0000-0000-0000-000000000000}"/>
  <workbookPr codeName="ThisWorkbook"/>
  <mc:AlternateContent xmlns:mc="http://schemas.openxmlformats.org/markup-compatibility/2006">
    <mc:Choice Requires="x15">
      <x15ac:absPath xmlns:x15ac="http://schemas.microsoft.com/office/spreadsheetml/2010/11/ac" url="https://hp.sharepoint.com/sites/MATContentDCPS/Shared Documents/CMIT/Commercial Notebooks &amp; Hybrids/Lock/"/>
    </mc:Choice>
  </mc:AlternateContent>
  <xr:revisionPtr revIDLastSave="662" documentId="8_{5094C154-AFBF-4086-9E12-57B3120AD860}" xr6:coauthVersionLast="47" xr6:coauthVersionMax="47" xr10:uidLastSave="{D9E841EB-9B8E-41CB-BE4C-2A530197E9CB}"/>
  <bookViews>
    <workbookView xWindow="28680" yWindow="-120" windowWidth="29040" windowHeight="15840" tabRatio="725" firstSheet="7" activeTab="7" xr2:uid="{00000000-000D-0000-FFFF-FFFF00000000}"/>
  </bookViews>
  <sheets>
    <sheet name="VIEW FIRST" sheetId="38" r:id="rId1"/>
    <sheet name="Template 1" sheetId="29" state="hidden" r:id="rId2"/>
    <sheet name="Template 2" sheetId="30" state="hidden" r:id="rId3"/>
    <sheet name="Metadata" sheetId="9" r:id="rId4"/>
    <sheet name="Test" sheetId="31" state="hidden" r:id="rId5"/>
    <sheet name="Change History" sheetId="24" state="hidden" r:id="rId6"/>
    <sheet name="Timeline" sheetId="42" state="hidden" r:id="rId7"/>
    <sheet name="Tech Specs &amp; QS Features" sheetId="33" r:id="rId8"/>
    <sheet name="QS Callouts &amp; Overview" sheetId="32" r:id="rId9"/>
    <sheet name="Sheet1" sheetId="45" r:id="rId10"/>
    <sheet name="QS-Only System Unit" sheetId="41" r:id="rId11"/>
    <sheet name="QS-Only Displays" sheetId="35" r:id="rId12"/>
    <sheet name="QS-Only Storage" sheetId="34" r:id="rId13"/>
    <sheet name="QS-Only Network" sheetId="36" r:id="rId14"/>
    <sheet name="QS-Only Power" sheetId="37" r:id="rId15"/>
    <sheet name="QS-Only Audio" sheetId="44" r:id="rId16"/>
    <sheet name="QS-Only Fingerprint Reader" sheetId="43" r:id="rId17"/>
    <sheet name="QS-Environmental" sheetId="40" r:id="rId18"/>
    <sheet name="QS-Only Options" sheetId="39" r:id="rId19"/>
  </sheets>
  <externalReferences>
    <externalReference r:id="rId20"/>
  </externalReferences>
  <definedNames>
    <definedName name="SectionNames" localSheetId="10">[1]!Sections[Sections]</definedName>
    <definedName name="SectionNames">Sections[Sections]</definedName>
    <definedName name="TableTypeNames" localSheetId="10">[1]!TableTypes[TableTypes]</definedName>
    <definedName name="TableTypeNames">TableTypes[TableTypes]</definedName>
  </definedNames>
  <calcPr calcId="191028"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 i="33" l="1"/>
  <c r="G1" i="43"/>
  <c r="G3" i="44"/>
  <c r="G1" i="44"/>
  <c r="G3" i="39"/>
  <c r="G3" i="37"/>
  <c r="G3" i="36"/>
  <c r="G3" i="34"/>
  <c r="G3" i="35"/>
  <c r="G3" i="41"/>
  <c r="G3" i="33"/>
  <c r="G12" i="33"/>
  <c r="G3" i="32"/>
  <c r="J14" i="42"/>
  <c r="I14" i="42"/>
  <c r="H14" i="42"/>
  <c r="G14" i="42"/>
  <c r="F14" i="42"/>
  <c r="E14" i="42"/>
  <c r="D14" i="42"/>
  <c r="C14" i="42"/>
  <c r="B14" i="42"/>
  <c r="H7" i="42"/>
  <c r="G7" i="42"/>
  <c r="F7" i="42"/>
  <c r="E7" i="42"/>
  <c r="D7" i="42"/>
  <c r="C7" i="42"/>
  <c r="B7" i="42"/>
  <c r="G1" i="41"/>
  <c r="D1" i="40"/>
  <c r="G1" i="39"/>
  <c r="G1" i="37"/>
  <c r="G1" i="36"/>
  <c r="G1" i="35"/>
  <c r="G1" i="34"/>
  <c r="G1" i="32"/>
  <c r="G1" i="31"/>
  <c r="B1" i="24"/>
  <c r="G1" i="30"/>
  <c r="G1" i="29"/>
</calcChain>
</file>

<file path=xl/sharedStrings.xml><?xml version="1.0" encoding="utf-8"?>
<sst xmlns="http://schemas.openxmlformats.org/spreadsheetml/2006/main" count="8924" uniqueCount="1883">
  <si>
    <t>Users could add comments if needed</t>
  </si>
  <si>
    <t>Small Series Name</t>
  </si>
  <si>
    <t>Section Name</t>
  </si>
  <si>
    <t>Technical Specifications</t>
  </si>
  <si>
    <t>Mandatory</t>
  </si>
  <si>
    <t>TagName</t>
  </si>
  <si>
    <t>Attributes</t>
  </si>
  <si>
    <t>For Online Datasheet</t>
  </si>
  <si>
    <t>For Quickspec</t>
  </si>
  <si>
    <t>Container Name</t>
  </si>
  <si>
    <t>Value</t>
  </si>
  <si>
    <t>Value Examples</t>
  </si>
  <si>
    <t>Content Ownership</t>
  </si>
  <si>
    <t>Owner
Sign-off</t>
  </si>
  <si>
    <t>Comments</t>
  </si>
  <si>
    <t>subsection</t>
  </si>
  <si>
    <t>view</t>
  </si>
  <si>
    <t>table</t>
  </si>
  <si>
    <t>Table</t>
  </si>
  <si>
    <t>Component title to the right</t>
  </si>
  <si>
    <t>N</t>
  </si>
  <si>
    <t>type</t>
  </si>
  <si>
    <t>Type</t>
  </si>
  <si>
    <t>4. List with names Concatenated</t>
  </si>
  <si>
    <t>columns</t>
  </si>
  <si>
    <t>Columns</t>
  </si>
  <si>
    <t>img</t>
  </si>
  <si>
    <t>Image</t>
  </si>
  <si>
    <t>format</t>
  </si>
  <si>
    <t>Formatting</t>
  </si>
  <si>
    <t>None</t>
  </si>
  <si>
    <t>tablecontent</t>
  </si>
  <si>
    <t>Table Values</t>
  </si>
  <si>
    <t>subtitle</t>
  </si>
  <si>
    <t>Subtitle</t>
  </si>
  <si>
    <t>desc</t>
  </si>
  <si>
    <t>foot_notes</t>
  </si>
  <si>
    <t>Footnotes</t>
  </si>
  <si>
    <t>foot_note</t>
  </si>
  <si>
    <t>disclaimers</t>
  </si>
  <si>
    <t>Disclaimers</t>
  </si>
  <si>
    <t>disc</t>
  </si>
  <si>
    <t>Options</t>
  </si>
  <si>
    <t>Program Name</t>
  </si>
  <si>
    <t>Oldman 1.0</t>
  </si>
  <si>
    <t>SubSection</t>
  </si>
  <si>
    <t>Table Title</t>
  </si>
  <si>
    <t>Title</t>
  </si>
  <si>
    <t>Owner
sign-off</t>
  </si>
  <si>
    <t>Series Name</t>
  </si>
  <si>
    <t>HP EliteBook 865 164 inch G10 Notebook PC</t>
  </si>
  <si>
    <t>Sections</t>
  </si>
  <si>
    <t>TableTypes</t>
  </si>
  <si>
    <t>Hidden</t>
  </si>
  <si>
    <t>Platform</t>
  </si>
  <si>
    <t>Lox16</t>
  </si>
  <si>
    <t>Overview</t>
  </si>
  <si>
    <t>1. List without names</t>
  </si>
  <si>
    <t>Pmaster OID</t>
  </si>
  <si>
    <t>Features</t>
  </si>
  <si>
    <t>2. List with names</t>
  </si>
  <si>
    <t>PRISM ItemId</t>
  </si>
  <si>
    <t>3. Table</t>
  </si>
  <si>
    <t>CAS PRISM ID</t>
  </si>
  <si>
    <t>Change History</t>
  </si>
  <si>
    <t>Regional Product Manager</t>
  </si>
  <si>
    <t>Lin, Cindy</t>
  </si>
  <si>
    <t>WW Team (Commodity, CPM, PDM)</t>
  </si>
  <si>
    <t>CLM Owner</t>
  </si>
  <si>
    <t>De la Cruz, Javier</t>
  </si>
  <si>
    <t>Accessories Team</t>
  </si>
  <si>
    <t>CAS Owner</t>
  </si>
  <si>
    <t>Lopez, Artemio</t>
  </si>
  <si>
    <t>Regional Product Managers (NA, LAR, EMEA, APJ)</t>
  </si>
  <si>
    <t>CAS Computer</t>
  </si>
  <si>
    <t>ReadOnly</t>
  </si>
  <si>
    <t>PRISM</t>
  </si>
  <si>
    <t>Quickspecs</t>
  </si>
  <si>
    <t>Comment</t>
  </si>
  <si>
    <t>"SubsectionName"</t>
  </si>
  <si>
    <t>Date of change</t>
  </si>
  <si>
    <t>Version History</t>
  </si>
  <si>
    <t>Update Type</t>
  </si>
  <si>
    <t>Description of Change</t>
  </si>
  <si>
    <t>PA Date</t>
  </si>
  <si>
    <t>(mm/dd/yy)</t>
  </si>
  <si>
    <t>GA Date</t>
  </si>
  <si>
    <t>NPI Web Content &amp; Datasheet Roadmap</t>
  </si>
  <si>
    <t>Use PA Date</t>
  </si>
  <si>
    <t>-19 Weeks</t>
  </si>
  <si>
    <t>-18 Weeks</t>
  </si>
  <si>
    <t>-16 Weeks</t>
  </si>
  <si>
    <t>-15 Weeks</t>
  </si>
  <si>
    <t>-12 Weeks</t>
  </si>
  <si>
    <t>-11 Weeks</t>
  </si>
  <si>
    <t>-10 Weeks</t>
  </si>
  <si>
    <t>• Get Cont Owners
• Send Timeline to Cont Owners and Regional Reviewers</t>
  </si>
  <si>
    <t>• Blank MAT in SP
• E-mail Content Owners Populate CAS kickoff</t>
  </si>
  <si>
    <t>• Photo callouts and Messaging input in MAT</t>
  </si>
  <si>
    <t>• All content due</t>
  </si>
  <si>
    <t>• CLM sign-off
• CAS e-mail Region for  Review</t>
  </si>
  <si>
    <t>• Owners sign-off
• MAT locked</t>
  </si>
  <si>
    <t>• Legal review
• Content upload PRISM</t>
  </si>
  <si>
    <t>Due Dates</t>
  </si>
  <si>
    <t>Recommit Dates</t>
  </si>
  <si>
    <t>NPI QuickSpecs Roadmap</t>
  </si>
  <si>
    <t>Use GA Date</t>
  </si>
  <si>
    <t>-9.5 Weeks</t>
  </si>
  <si>
    <t>-9 Weeks</t>
  </si>
  <si>
    <t>• Blank MAT
• Content Owners Populate CAS</t>
  </si>
  <si>
    <t>• Final MAT posted in SP</t>
  </si>
  <si>
    <t>• QS PDF Sign-off</t>
  </si>
  <si>
    <t>• QS Concentra posted</t>
  </si>
  <si>
    <t>For Web &amp; Datasheet</t>
  </si>
  <si>
    <t xml:space="preserve">For Quickspecs </t>
  </si>
  <si>
    <t>Example of value</t>
  </si>
  <si>
    <t>Product Name</t>
  </si>
  <si>
    <t>Preinstalled</t>
  </si>
  <si>
    <t>title</t>
  </si>
  <si>
    <t>align:center</t>
  </si>
  <si>
    <t xml:space="preserve">Section Sign off </t>
  </si>
  <si>
    <t>Example</t>
  </si>
  <si>
    <t>osinstalleddes01</t>
  </si>
  <si>
    <t>Operative System 01</t>
  </si>
  <si>
    <t>Windows 11 Pro [1]</t>
  </si>
  <si>
    <t>Windows 11 Pro </t>
  </si>
  <si>
    <t>Karmyn Kindred-Dukes</t>
  </si>
  <si>
    <t>Y</t>
  </si>
  <si>
    <t>osinstalleddes02</t>
  </si>
  <si>
    <t>Operative System 02</t>
  </si>
  <si>
    <t>Windows 11 Pro Education [1]</t>
  </si>
  <si>
    <t>Windows 11 Pro Education</t>
  </si>
  <si>
    <t>osinstalleddes03</t>
  </si>
  <si>
    <t>Operative System 03</t>
  </si>
  <si>
    <t>Windows 11 Home - HP recommends Windows 11 Pro for Business[1]</t>
  </si>
  <si>
    <t>Windows 11 Home - HP recommends Windows 11 Pro for business</t>
  </si>
  <si>
    <t>osinstalleddes04</t>
  </si>
  <si>
    <t>Operative System 04</t>
  </si>
  <si>
    <t>Windows 11 Home Single Language – HP recommends Windows 11 Pro for Business [1]</t>
  </si>
  <si>
    <t xml:space="preserve">Windows 11 Home Single Language - HP recommends Windows 11 Pro for business </t>
  </si>
  <si>
    <t>Operative System 05</t>
  </si>
  <si>
    <t>Windows 11 Pro (Windows 11 Enterprise or Windows 10 Enterprise available with a Volume Licensing Agreement) [1]</t>
  </si>
  <si>
    <t xml:space="preserve">Windows 11 Pro (Windows 11 Enterprise available with a Volume Licensing Agreement) </t>
  </si>
  <si>
    <t>osinstalleddes05</t>
  </si>
  <si>
    <t>Operative System 06</t>
  </si>
  <si>
    <t xml:space="preserve">Windows 11 Pro (preinstalled with Windows 10 Pro Downgrade) [1] [2] </t>
  </si>
  <si>
    <t>Windows 10 Pro (available through downgrade rights from Windows 11 Pro)</t>
  </si>
  <si>
    <t>osinstalleddes06</t>
  </si>
  <si>
    <t>Operative System 07</t>
  </si>
  <si>
    <t>FreeDOS</t>
  </si>
  <si>
    <t>FreeDOS 2.0</t>
  </si>
  <si>
    <t>Operative System 08</t>
  </si>
  <si>
    <t>NeoKylin Linux® 64</t>
  </si>
  <si>
    <t>PM</t>
  </si>
  <si>
    <t>Operative System 09</t>
  </si>
  <si>
    <t>Chrome OS</t>
  </si>
  <si>
    <t>Operative System 10</t>
  </si>
  <si>
    <t>Operative System 11</t>
  </si>
  <si>
    <t>[1] Not all features are available in all editions or versions of Windows. Systems may require upgraded and/or separately purchased hardware, drivers, software or BIOS update to take full advantage of Windows functionality. Windows is automatically updated and enabled. High speed internet and Microsoft account required. ISP fees may apply and additional requirements may apply over time for updates. See http://www.windows.com.</t>
  </si>
  <si>
    <t>Not all features are available in all editions or versions of Windows. Systems may require upgraded and/or separately purchased hardware, drivers, software or BIOS update to take full advantage of Windows functionality. Windows is automatically updated and enabled. High speed internet and Microsoft account required. ISP fees may apply and additional requirements may apply over time for updates. See http://www.windows.com .</t>
  </si>
  <si>
    <t>Legal</t>
  </si>
  <si>
    <t>Please, don't change the number between the brackets</t>
  </si>
  <si>
    <t>[2] This system is preinstalled with Windows 10 Pro software and also comes with a license for Windows 11 Pro software and provision for recovery software. You may only use one version of the Windows software at a time. Switching between versions will require you to uninstall one version and install the other version. You must back up all data (files, photos, etc.) before uninstalling and installing operating systems to avoid loss of your data.</t>
  </si>
  <si>
    <t>This computer is preinstalled with Windows [insert Product version/edition name] Home Single Language.</t>
  </si>
  <si>
    <t>Windows 10 Pro in S mode 64 works exclusively with apps from the Windows store. Some accessories and apps compatible with Windows 10 may not work, and performance may vary. Certain default settings, features, and apps cannot be changed. Easily switch to Windows 10 Pro configuration (fee applies) Learn more at Windows.com/SmodeFAQ .</t>
  </si>
  <si>
    <t>Tiltle</t>
  </si>
  <si>
    <t>Supported Versions</t>
  </si>
  <si>
    <t>NOTE: HP tested Windows 10, version 1909 on this platform. For testing information on newer versions of Windows 10, please see https://support.hp.com/document/c05195282 .</t>
  </si>
  <si>
    <t>Processors</t>
  </si>
  <si>
    <t>Max Turbo Frequency</t>
  </si>
  <si>
    <t xml:space="preserve">Base Frequency </t>
  </si>
  <si>
    <t>Processor</t>
  </si>
  <si>
    <t>Cores</t>
  </si>
  <si>
    <t>Number of P-cores</t>
  </si>
  <si>
    <t>Number of E-cores</t>
  </si>
  <si>
    <t>Threads</t>
  </si>
  <si>
    <t>L3 Cache</t>
  </si>
  <si>
    <t>P-cores</t>
  </si>
  <si>
    <t>E-cores</t>
  </si>
  <si>
    <t>Intel SIPP/vPro® Enterprise</t>
  </si>
  <si>
    <t>Intel vPro® Essentials</t>
  </si>
  <si>
    <t xml:space="preserve">Example of value </t>
  </si>
  <si>
    <t>Intel® Core™ i7-1280P</t>
  </si>
  <si>
    <t>24 MB</t>
  </si>
  <si>
    <t>4.8 GHz</t>
  </si>
  <si>
    <t>3.6 GHz</t>
  </si>
  <si>
    <t>1.8 GHz</t>
  </si>
  <si>
    <t>1.3 GHz</t>
  </si>
  <si>
    <t>X</t>
  </si>
  <si>
    <t>Intel® Core™ i7-1280P (1.3 GHz E-core base frequency, 1.8 GHz P-core base frequency, up to 3.6 GHz E-core Max Turbo frequency, up to 4.8 GHz P-core Max Turbo frequency, 24 MB L3 cache, 6 P-cores and 8 E-core, 20 threads), supports Intel® vPro® Technology</t>
  </si>
  <si>
    <t>Intel® Core™ i5-1235U</t>
  </si>
  <si>
    <t>12 MB</t>
  </si>
  <si>
    <t>4.4 GHz</t>
  </si>
  <si>
    <t>3.63GHz</t>
  </si>
  <si>
    <t>.90GHz</t>
  </si>
  <si>
    <t>Intel® Core™ i5-1235U (0.9 GHz E-core base frequency, 1.3 GHz P-core base frequency, up to 3.63 GHz E-core Max Turbo frequency, up to 4.4 GHz P-core Max Turbo frequency, 12 MB L3 cache, 2 P-cores and 8 E-core, 12 threads), supports Intel® vPro® Technology</t>
  </si>
  <si>
    <t>processortype</t>
  </si>
  <si>
    <t>Max Boost Frequency [5]</t>
  </si>
  <si>
    <t>Pro</t>
  </si>
  <si>
    <t>Processor 01</t>
  </si>
  <si>
    <t xml:space="preserve">AMD Ryzen™ 9 PRO 7940HS </t>
  </si>
  <si>
    <t>8C</t>
  </si>
  <si>
    <t>16MB</t>
  </si>
  <si>
    <t>5.20 GHz</t>
  </si>
  <si>
    <t>4.00 GHz</t>
  </si>
  <si>
    <t>Processor 02</t>
  </si>
  <si>
    <t>AMD Ryzen™ 7 PRO 7840HS [3,4,5,6]</t>
  </si>
  <si>
    <t>5.10 GHz</t>
  </si>
  <si>
    <t>3.80 GHz</t>
  </si>
  <si>
    <t>Processor 03</t>
  </si>
  <si>
    <t>AMD Ryzen™ 7 PRO 7840U [3,4,5,6]</t>
  </si>
  <si>
    <t>3.30 GHz</t>
  </si>
  <si>
    <t>Processor 04</t>
  </si>
  <si>
    <t>AMD Ryzen™ 5 PRO 7540U [3,4,5,6]</t>
  </si>
  <si>
    <t>6C</t>
  </si>
  <si>
    <t>4.90 GHz</t>
  </si>
  <si>
    <t>3.50 GHz</t>
  </si>
  <si>
    <t>Processor 05</t>
  </si>
  <si>
    <t>AMD Ryzen™ 7-7840U [3,4,5,6]</t>
  </si>
  <si>
    <t>Processor 06</t>
  </si>
  <si>
    <t>AMD Ryzen™ 5-7540U [3,4,5,6]</t>
  </si>
  <si>
    <t>Processor 07</t>
  </si>
  <si>
    <t>Processor 08</t>
  </si>
  <si>
    <t>Processor Family</t>
  </si>
  <si>
    <t>processorfamily</t>
  </si>
  <si>
    <t>Processor Family 01</t>
  </si>
  <si>
    <t>AMD Ryzen™ processor [7]</t>
  </si>
  <si>
    <t>11th Generation Intel® Core™ i7 processor</t>
  </si>
  <si>
    <t>Processor Family 02</t>
  </si>
  <si>
    <t>11th Generation Intel® Core™ i5 processor</t>
  </si>
  <si>
    <t>Processor Family 03</t>
  </si>
  <si>
    <t>AMD Ryzen™ processor</t>
  </si>
  <si>
    <t>Processor Family 04</t>
  </si>
  <si>
    <t>Processor Family 05</t>
  </si>
  <si>
    <t>Processor Family 06</t>
  </si>
  <si>
    <t>Processor Family 07</t>
  </si>
  <si>
    <t>Processor Family 08</t>
  </si>
  <si>
    <t>Processor Family 09</t>
  </si>
  <si>
    <t>Processor Family 10</t>
  </si>
  <si>
    <t>[3] Multicore is designed to improve performance of certain software products. Not all customers or software applications will necessarily benefit from use of this technology. Performance and clock frequency will vary depending on application workload and your hardware and software configurations. Intel’s numbering, branding and/or naming is not a measurement of higher performance.</t>
  </si>
  <si>
    <t>Multicore is designed to improve performance of certain software products. Not all customers or software applications will necessarily benefit from use of this technology. Performance and clock frequency will vary depending on application workload and your hardware and software configurations. Intel’s numbering, branding and/or naming is not a measurement of higher performance.</t>
  </si>
  <si>
    <t>N</t>
    <phoneticPr fontId="8" type="noConversion"/>
  </si>
  <si>
    <t>[4] Processor speed denotes maximum performance mode; processors will run at lower speeds in battery optimization mode.</t>
  </si>
  <si>
    <t>Processor speed denotes maximum performance mode; processors will run at lower speeds in battery optimization mode.</t>
  </si>
  <si>
    <t>[5] Multicore is designed to improve performance of certain software products. Not all customers or software applications will necessarily benefit from use of this technology. Performance and clock frequency will vary depending on application workload and your hardware and software configurations. AMD’s numbering is not a measurement of clock speed.</t>
  </si>
  <si>
    <t>Intel® Turbo Boost performance varies depending on hardware, software and overall system configuration. See www.intel.com/technology/turboboost for more information.</t>
  </si>
  <si>
    <t xml:space="preserve">[6] Max Boost clock frequency performance varies depending on hardware, software and overall system configuration. </t>
  </si>
  <si>
    <t>Multicore is designed to improve performance of certain software products. Not all customers or software applications will necessarily benefit from use of this technology. Performance and clock frequency will vary depending on application workload and your hardware and software configurations. AMD’s numbering is not a measurement of clock speed.</t>
  </si>
  <si>
    <t>[7] In accordance with Microsoft’s support policy, HP does not support the Windows 8 or Windows 7 operating system on products configured with Intel and AMD 7th generation and forward processors or provide any Windows 8 or Windows 7 drivers on http://www.support.hp.com .</t>
  </si>
  <si>
    <t xml:space="preserve">Max Boost clock frequency performance varies depending on hardware, software and overall system configuration. </t>
  </si>
  <si>
    <t>Intel vPro® requires Windows 10 Pro 64 bit or higher, a vPro supported processor, vPro enabled chipset, vPro enabled wired LAN and/or Wi-Fi 6E WLAN and TPM 2.0.  Some functionality requires additional 3rd party software in order to run. Features of vPro® Essentials and Enterprise vary. See http://intel.com/vpro .</t>
  </si>
  <si>
    <t>Intel vPro® requires Chrome OS R99 or after, a vPro supported processor, vPro enabled wired LAN and/or WLAN card, Wi-Fi 6E and H1 Security Chip are required.  Some functionality requires additional 3rd party software in order to run. Features of vPro® Essentials and Enterprise vary. See http://intel.com/vpro .</t>
  </si>
  <si>
    <t>In accordance with Microsoft’s support policy, HP does not support the Windows 8 or Windows 7 operating system on products configured with Intel and AMD 7th generation and forward processors or provide any Windows 8 or Windows 7 drivers on http://www.support.hp.com .</t>
  </si>
  <si>
    <t>Chipset</t>
  </si>
  <si>
    <t>chipset</t>
  </si>
  <si>
    <t>Chipset is integrated with processor</t>
  </si>
  <si>
    <t>Graphics</t>
  </si>
  <si>
    <t>graphicseg_01header</t>
  </si>
  <si>
    <t>Integrated</t>
  </si>
  <si>
    <t>graphicseg_01card_01</t>
  </si>
  <si>
    <t>Graphic Card 01</t>
  </si>
  <si>
    <t xml:space="preserve">AMD Radeon™ Graphics	</t>
  </si>
  <si>
    <t>Intel® Iris® Xᵉ Graphics</t>
  </si>
  <si>
    <t>Graphic Card 02</t>
  </si>
  <si>
    <t>AMD Radeon™ R7 Graphics</t>
  </si>
  <si>
    <t>Graphic Card 03</t>
  </si>
  <si>
    <t>Intel® UHD Graphics</t>
  </si>
  <si>
    <t>Graphic Card 04</t>
  </si>
  <si>
    <t>AMD Radeon™ R4 Graphics</t>
  </si>
  <si>
    <t>Graphic Card 05</t>
  </si>
  <si>
    <t>Intel® UHD Graphics 830</t>
  </si>
  <si>
    <t>graphicseg_02header</t>
  </si>
  <si>
    <t>Discrete</t>
  </si>
  <si>
    <t>graphicseg_02card_01</t>
  </si>
  <si>
    <t>Graphic Card 06</t>
  </si>
  <si>
    <t>NVIDIA® GeForce® MX130 (2 GB DDR5 dedicated)</t>
  </si>
  <si>
    <t>Graphic Card 07</t>
  </si>
  <si>
    <t>AMD Radeon™ RX 540 (2 GB GDDR5 dedicated)</t>
  </si>
  <si>
    <t>Supports</t>
  </si>
  <si>
    <t>Graphic Card 08</t>
  </si>
  <si>
    <t>Support HW decode, DX12, HDMI 2.0, HDCP 2.3</t>
  </si>
  <si>
    <t>Support HD decode, DX12, HDMI 1.4b</t>
  </si>
  <si>
    <t>Graphic Card 09</t>
  </si>
  <si>
    <t>Support CUDA, Optimus, PhysX, GPU Boost 2.0</t>
  </si>
  <si>
    <t>Graphic Card 10</t>
  </si>
  <si>
    <t>Graphic Card 11</t>
  </si>
  <si>
    <t>[8] HD content required to view HD images.</t>
  </si>
  <si>
    <t>HD content required to view HD images.</t>
  </si>
  <si>
    <t>Integrated graphics depends on processor. NVIDIA® Optimus™ technology requires an Intel processor, plus an NVIDIA® GeForce® discrete graphics configuration and is available on Windows 10 Pro OS or higher. With NVIDIA® Optimus™ technology, full enablement of all discrete graphics video and display features may not be supported on all systems (e.g. OpenGL applications will run on the integrated GPU or the APU as the case may be).</t>
  </si>
  <si>
    <t>AMD Dynamic Switchable Graphics technology requires an Intel processor, plus an AMD Radeon™ discrete graphics configuration and is not available on FreeDOS and Linux OS. With AMD Dynamic Switchable Graphics technology, full enablement of all discrete graphics video and display features may not be supported on all systems (e.g. OpenGL applications will run on the integrated GPU or the APU as the case may be).</t>
  </si>
  <si>
    <t>Intel® Iris® Xᵉ Graphics capabilities require system to be configured with Intel® Core™ i5 or i7 processors and dual channel memory. Intel® Iris® Xᵉ Graphics with Intel® Core™ i5 or 7 processors and single channel memory will only function as UHD graphics.</t>
  </si>
  <si>
    <t>Display</t>
  </si>
  <si>
    <t>Internal</t>
  </si>
  <si>
    <t xml:space="preserve">Non-Touch </t>
  </si>
  <si>
    <t>Display 01</t>
    <phoneticPr fontId="8" type="noConversion"/>
  </si>
  <si>
    <t>40.6 cm (16") diagonal WUXGA Bent, anti-glare UWVA, 250 nits, 45% NTSC for 5MP camera for WWAN (1920 x 1200) [8,9,10]</t>
  </si>
  <si>
    <t>Display 02</t>
    <phoneticPr fontId="8" type="noConversion"/>
  </si>
  <si>
    <t>40.6 cm (16") diagonal WUXGA Bent, anti-glare UWVA, 250 nits, 45% NTSC for 5MP+IR camera for WWAN (1920 x 1200) [8,9,10]</t>
  </si>
  <si>
    <t>Display 03</t>
    <phoneticPr fontId="8" type="noConversion"/>
  </si>
  <si>
    <t>40.6 cm (16") diagonal WUXGA Bent, anti-glare UWVA, 250 nits, 45% NTSC for 5MP+IR camera (1920 x 1200) [8,9,10]</t>
  </si>
  <si>
    <t>Display 04</t>
    <phoneticPr fontId="8" type="noConversion"/>
  </si>
  <si>
    <t>40.6 cm (16") diagonal WUXGA Bent, anti-glare UWVA, 250 nits, 45% NTSC for 5MP camera (1920 x 1200) [8,9,10]</t>
  </si>
  <si>
    <t>Display 05</t>
  </si>
  <si>
    <t>40.6 cm (16") diagonal WUXGA Bent, anti-glare UWVA, 250 nits, 45% NTSC for WWAN (1920 x 1200) [8,9,10]</t>
  </si>
  <si>
    <t>Display 06</t>
  </si>
  <si>
    <t>40.6 cm (16") diagonal WUXGA Bent, anti-glare UWVA eDP1.2, micro-edge, 250 nits, 45% NTSC, Narrow Bezel (1920 x 1200) [8,9,10]</t>
  </si>
  <si>
    <t>Display 07</t>
  </si>
  <si>
    <t>Display 08</t>
  </si>
  <si>
    <t>40.6 cm (16") diagonal WUXGA Bent, Low Blue Light, anti-glare UWVA eDP+PSR, 400 nits, 100% sRGB, Low Power, Ambient Light Sensor for 5MP+IR Camera (1920 x 1200) [8,9,10]</t>
  </si>
  <si>
    <t>display</t>
  </si>
  <si>
    <t>Display 09</t>
  </si>
  <si>
    <t>40.6 cm (16") diagonal WUXGA Bent, Low Blue Light, anti-glare UWVA eDP+PSR, 400 nits, 100% sRGB, Low Power, Ambient Light Sensor for 5MP +IR camera for WWAN (1920 x 1200) [8,9,10]</t>
  </si>
  <si>
    <t>Display 10</t>
  </si>
  <si>
    <t>40.6 cm (16") diagonal WUXGA Bent, Low Blue Light, anti-glare UWVA eDP1.3+PSR, 1000 nits, 100% sRGB with HP Sure View Reflect integrated privacy screen, Ambient Light Sensor for 5MP camera (1920 x 1200)  [8,9,10,11,12]</t>
  </si>
  <si>
    <t>Display 11</t>
  </si>
  <si>
    <t>40.6 cm (16") diagonal WUXGA Bent, Low Blue Light, anti-glare UWVA eDP1.3+PSR, 1000 nits, 100% sRGB with HP Sure View Reflect integrated privacy screen, Ambient Light Sensor 5MP+IR camera (1920 x 1200) [8,9,10,11,12]</t>
  </si>
  <si>
    <t>Display 12</t>
  </si>
  <si>
    <t>40.6 cm (16") diagonal WUXGA Bent, Low Blue Light, anti-glare UWVA eDP1.3+PSR, 1000 nits, 100% sRGB with HP Sure View Reflect integrated privacy screen, Ambient Light Sensor 5MP+IR camera for WWAN (1920 x 1200) [8,9,10,11,12]</t>
  </si>
  <si>
    <t xml:space="preserve">Touch </t>
  </si>
  <si>
    <t>Display 13</t>
  </si>
  <si>
    <t>40.6 cm (16") diagonal WUXGA Bent, anti-glare UWVA, 250 nits, 45% NTSC for 5MP+IR camera Touch on Panel (1920 x 1200) [8,9,10,11,12]</t>
  </si>
  <si>
    <t>Display 14</t>
  </si>
  <si>
    <t>40.6 cm (16") diagonal WUXGA Bent, anti-glare UWVA, 250 nits, 45% NTSC for 5MP+IR camera for WWAN Touch on Panel (1920 x 1200) [8,9,10,11,12]</t>
  </si>
  <si>
    <t>Display 15</t>
  </si>
  <si>
    <t>Display 16</t>
  </si>
  <si>
    <t>Display 17</t>
  </si>
  <si>
    <t>Display 18</t>
  </si>
  <si>
    <t>VGA</t>
  </si>
  <si>
    <t>Display 19</t>
  </si>
  <si>
    <t>Port supports resolutions up to 1920 x 1200 external resolution @60 Hz</t>
  </si>
  <si>
    <t>DisplayPort™ 1.2</t>
  </si>
  <si>
    <t>Display 20</t>
  </si>
  <si>
    <t>Support HW decode, DX12, HDMI 2.0, HDCP 2.3 via HDMI/DP up to 4K@60Hz.</t>
  </si>
  <si>
    <t>Supports resolutions up to 4096 x 2304 @ 60Hz</t>
  </si>
  <si>
    <t>Display 21</t>
  </si>
  <si>
    <t>Resolutions are dependent upon monitor capability, and resolution and color depth settings.</t>
  </si>
  <si>
    <t>Displays support</t>
  </si>
  <si>
    <t>Display 22</t>
  </si>
  <si>
    <t>Supports 4 independent displays through the dock.</t>
  </si>
  <si>
    <t>Supports dual display through the dock</t>
  </si>
  <si>
    <t>Display 23</t>
  </si>
  <si>
    <t>Supports 3 independent displays if used with optional HP UltraSlim Docking Station.2</t>
  </si>
  <si>
    <t>Display Size</t>
  </si>
  <si>
    <t>displaysize</t>
  </si>
  <si>
    <t>Display Size (imperial)</t>
  </si>
  <si>
    <t>16"</t>
  </si>
  <si>
    <t>14"</t>
  </si>
  <si>
    <t>displaysizemet</t>
  </si>
  <si>
    <t>Display Size (metric)</t>
  </si>
  <si>
    <t>40.6 cm (16")</t>
  </si>
  <si>
    <t>35.56 cm (14")</t>
  </si>
  <si>
    <t xml:space="preserve">QuickSpecs only </t>
  </si>
  <si>
    <t xml:space="preserve">Docking </t>
  </si>
  <si>
    <t>Docking station model #1</t>
  </si>
  <si>
    <t>HP Thunderbolt 120W G4 Dock</t>
  </si>
  <si>
    <t xml:space="preserve">HP Thunderbolt Dock G2 </t>
  </si>
  <si>
    <t>Total number of supported displays (incl.the notebook)
display)</t>
  </si>
  <si>
    <t>Max.resolutions supported</t>
  </si>
  <si>
    <t>Quad 4K @60Hz
Dual 8K single cable@30 for TB hosts or USB-C hosts DP 1.4 with DSC in high res mode</t>
  </si>
  <si>
    <t xml:space="preserve">Dual 4K @ 60Hz </t>
  </si>
  <si>
    <t>Dock Connectors</t>
  </si>
  <si>
    <t>2xDP, 1xHDMI, 1xTB, 1xUSB-C Alt Mode</t>
  </si>
  <si>
    <t>2xDP, 1xVGA, 1xTB, 1xUSB-C alt-mode</t>
  </si>
  <si>
    <t>Technicallimitations</t>
  </si>
  <si>
    <t xml:space="preserve">Maximum resolution and display support is dependent on the maximum capability of the notebook.
Thunderbolt Hosts:
Maximum of (4) displays with maximum resolution of 5K@ 30Hz running Thunderbolt host.
Maximum resolution possible is dual 8K displays @ 60Hz running Thunderbolt host or running a non-Thunderbolt host in high resolution mode @30Hz
Non-Thunderbolt hosts:  
The highest resolution for dual displays running a non-Thunderbolt host in multi-function mode is
(1)  5K dual cable (using both DP ports) +(1) 4K on USB-C DP port
Non-Thunderbolt hosts support (3) displays with a maximum resolution of (2) 5K single cable + (1) 4K UHD @ 60 Hz in high resolution mode.  In multi-function mode the maximum resolution for (3) displays is (2) 5K single cable @ 30Hz + (1) 4K UHD @ 30Hz.  </t>
  </si>
  <si>
    <t>System only runs at altmode speed</t>
  </si>
  <si>
    <t>Docking station model #2</t>
  </si>
  <si>
    <t>HP Thunderbolt 280W G4 Dock</t>
  </si>
  <si>
    <t>HP Elite USB-C Dock G5</t>
  </si>
  <si>
    <t>Three 1680x1050 @ 60 Hz
Dual 2K @ 60Hz
Single 4K @ 60Hz (3840 x 1440)</t>
  </si>
  <si>
    <t>1xHDMI, 2xDP</t>
  </si>
  <si>
    <t>Docking station model #3</t>
  </si>
  <si>
    <t>HP USB-C G5 Dock</t>
  </si>
  <si>
    <t>HP USB-C Universal
Dock G2</t>
  </si>
  <si>
    <t>Dual 5K@ 30Hz + (1) 4K UHD (multi-function mode)</t>
  </si>
  <si>
    <t>Dual 4K @ 60Hz
Single 5K @ 60Hz</t>
  </si>
  <si>
    <t>Maximum resolution and display support is dependent on the maximum capability of the notebook.</t>
  </si>
  <si>
    <t>Docking station model #4</t>
  </si>
  <si>
    <t xml:space="preserve">HP USB-C/A Universal Dock G2
</t>
  </si>
  <si>
    <t>HP USB-C Travel Dock</t>
  </si>
  <si>
    <t>Single 2K @ 60Hz</t>
  </si>
  <si>
    <t>1xHDMI, 1xVGA</t>
  </si>
  <si>
    <t>Maximum resolution and display support is dependent on the maximum capability of the notebook.
The best resolution for dual or triple displays is 4K UHD@ 60Hz.
For use with the USB-A adapter that comes in the box the maximum number of displays supported is (2)  4k x 60 Hz on the Type-A Gen 1 connection from the host.</t>
  </si>
  <si>
    <t>Single external display
Only HDMI or VGA at the
time</t>
  </si>
  <si>
    <t>Sold separately or as an optional feature.</t>
  </si>
  <si>
    <t>HP Sure View Reflect integrated privacy screen is an optional feature that must be configured at purchase and is designed to function in landscape orientation.</t>
  </si>
  <si>
    <t xml:space="preserve">Actual brightness will be lower with touchscreen or Sure View. </t>
  </si>
  <si>
    <t>Storage and Drives</t>
  </si>
  <si>
    <t>Primary Storage[1]</t>
  </si>
  <si>
    <t xml:space="preserve">Secton Sign Off </t>
  </si>
  <si>
    <t>Storage 01</t>
  </si>
  <si>
    <t>Primary Storage</t>
  </si>
  <si>
    <t>Storage Drive capacity 01</t>
  </si>
  <si>
    <t>1 TB 7200 rpm SATA</t>
  </si>
  <si>
    <t>Storage Drive capacity 02</t>
  </si>
  <si>
    <t>1 TB 5400 rpm SATA</t>
  </si>
  <si>
    <t>Storage Drive capacity 03</t>
  </si>
  <si>
    <t>500 GB (8 GB cache) 5400 rpm SATA SSHD</t>
  </si>
  <si>
    <t>Storage Drive capacity 04</t>
  </si>
  <si>
    <t>500 GB (8 GB cache) 7200 rpm SATA SED</t>
  </si>
  <si>
    <t>Storage Drive capacity 05</t>
  </si>
  <si>
    <t>500 GB 7200 rpm SATA</t>
  </si>
  <si>
    <t>Storage Drive capacity 06</t>
  </si>
  <si>
    <t>500 GB 5400 rpm SATA</t>
  </si>
  <si>
    <t>Primary M.2 Storage</t>
  </si>
  <si>
    <t>Storage Drive capacity 07</t>
  </si>
  <si>
    <t xml:space="preserve">2 TB PCIe® Gen4x4 NVMe™ M.2 SSD TLC [13] </t>
  </si>
  <si>
    <t>128 GB M.2 SSD</t>
  </si>
  <si>
    <t>Storage Drive capacity 08</t>
  </si>
  <si>
    <t xml:space="preserve">1 TB PCIe® Gen4x4 NVMe™ M.2 SSD TLC [13] </t>
  </si>
  <si>
    <t>128 GB M.2 SATA SED SSD</t>
  </si>
  <si>
    <t>Storage Drive capacity 09</t>
  </si>
  <si>
    <t xml:space="preserve">1TB PCIe® Gen4x4 NVMe™ SED TLC OPAL2 [13] </t>
  </si>
  <si>
    <t>Storage Drive capacity 10</t>
  </si>
  <si>
    <t xml:space="preserve">512 GB PCIe® Gen4x4 NVMe™ M.2 SSD TLC [13] </t>
  </si>
  <si>
    <t>256 GB PCIe® NVMe™ M.2 SSD</t>
  </si>
  <si>
    <t>Storage Drive capacity 11</t>
  </si>
  <si>
    <t xml:space="preserve">512 GB PCIe® Gen4x4 NVMe™ SED TLC OPAL2 [13] </t>
  </si>
  <si>
    <t>256 GB PCIe® NVMe™ M.2 SED SSD</t>
  </si>
  <si>
    <t>Storage Drive capacity 12</t>
  </si>
  <si>
    <t xml:space="preserve">512 GB PCIe® NVMe™ Value M.2 SSD [13] </t>
  </si>
  <si>
    <t>256 GB PCIe® M.2 SED SSD</t>
  </si>
  <si>
    <t>Storage Drive capacity 13</t>
  </si>
  <si>
    <t xml:space="preserve">256 GB PCIe® Gen4x4 NVMe™ SED TLC OPAL2 [13] </t>
  </si>
  <si>
    <t>256 GB Intel® PCIe® NVMe™ QLC M.2 SSD with 16 GB Intel® Optane™ memory H10</t>
  </si>
  <si>
    <t>Storage Drive capacity 14</t>
  </si>
  <si>
    <t xml:space="preserve">256 GB PCIe® NVMe™ Value M.2 SSD [13] </t>
  </si>
  <si>
    <t>512 GB Intel® PCIe® NVMe™ QLC M.2 SSD with 32 GB Intel® Optane™ memory H10</t>
  </si>
  <si>
    <t>Storage Drive capacity 15</t>
  </si>
  <si>
    <t>128 GB eMMC</t>
  </si>
  <si>
    <t>Storage Drive capacity 16</t>
  </si>
  <si>
    <t>256 GB eMMC 5.0</t>
  </si>
  <si>
    <t>Storage Drive capacity 17</t>
  </si>
  <si>
    <t>Storage Drive capacity 18</t>
  </si>
  <si>
    <t>Storage Drive capacity 19</t>
  </si>
  <si>
    <t>[13] For storage drives, GB = 1 billion bytes. TB = 1 trillion bytes. Actual formatted capacity is less. Up to 30 GB (for Windows) is reserved for system recovery software.</t>
  </si>
  <si>
    <t>For storage drives, GB = 1 billion bytes. TB = 1 trillion bytes. Actual formatted capacity is less. Up to 30 GB (for Windows 10  and 11) is reserved for system recovery software.</t>
  </si>
  <si>
    <t>For storage drives, GB = 1 billion bytes. Actual formatted capacity is less. Up to 8.1 GB is not user available.</t>
  </si>
  <si>
    <t>Intel® Optane™ memory is sold separately. Intel® Optane™ memory system acceleration does not replace or increase the DRAM in your system. Available for HP commercial desktops and notebooks and for select HP workstations (HP Z240 Tower/SFF, Z2 Mini, ZBook Studio, 15 and 17 G5) and requires a SATA HDD, 7th Gen or higher Intel® Core™ processor or Intel® Xeon® processor E3-1200 V6 product family or higher, BIOS version with Intel® Optane™ supported, Windows 10 version 1703 or higher, M.2 type 2280-S1-B-M connector on a PCH Remapped PCIe Controller and Lanes in a x2 or x4 configuration with B-M keys that meet NVMe™ Spec 1.1, and an Intel® Rapid Storage Technology (Intel® RST) 15.5 driver.</t>
  </si>
  <si>
    <t>Intel® Optane™ memory system acceleration does not replace or increase the DRAM in your system. Requires 8th Gen or higher Intel® Core™ processor, BIOS version with Intel® Optane™ supported, Windows 10 64-bit, and an Intel® Rapid Storage Technology (Intel® RST) driver.</t>
  </si>
  <si>
    <t>Second storage is only available with non-WWAN base unit and Primary M.2 storage.</t>
  </si>
  <si>
    <t>Memory[1]</t>
  </si>
  <si>
    <t>Standard</t>
  </si>
  <si>
    <t>Maximum Memory</t>
  </si>
  <si>
    <t>memmax_01</t>
  </si>
  <si>
    <t>RAM Feature 01</t>
  </si>
  <si>
    <t>64GB DDR5-5600 [14]</t>
  </si>
  <si>
    <t>32 GB DDR4-2133 SDRAM</t>
  </si>
  <si>
    <t>Memory</t>
  </si>
  <si>
    <t>RAM Feature 02</t>
  </si>
  <si>
    <t>64GB DDR5-5600 (2x32GB) [14]</t>
  </si>
  <si>
    <t>32 GB DDR4-2133 SDRAM (2 X 16 GB)</t>
  </si>
  <si>
    <t>RAM Feature 03</t>
  </si>
  <si>
    <t>32GB DDR5-5600 (2x16GB) [14]</t>
  </si>
  <si>
    <t>16 GB DDR4-2133 SDRAM (1 X 16 GB)</t>
  </si>
  <si>
    <t>RAM Feature 04</t>
  </si>
  <si>
    <t>32GB DDR5-5600 (1x32GB) [14]</t>
  </si>
  <si>
    <t>16 GB DDR4-2133 SDRAM (2 X 8 GB)</t>
  </si>
  <si>
    <t>RAM Feature 05</t>
  </si>
  <si>
    <t>16GB DDR5-5600 (2x8GB) [14]</t>
  </si>
  <si>
    <t>12 GB DDR4-2133 SDRAM (4 GB (onboard) and 8 GB (1 x 8 GB))</t>
  </si>
  <si>
    <t>RAM Feature 06</t>
  </si>
  <si>
    <t>16GB DDR5-5600 (1x16GB) [14]</t>
  </si>
  <si>
    <t>8 GB DDR4-2133 SDRAM (1 x 8 GB)</t>
  </si>
  <si>
    <t>RAM Feature 07</t>
  </si>
  <si>
    <t>8GB DDR5-5600 (1x8GB) [14]</t>
  </si>
  <si>
    <t>8 GB DDR4-2133 SDRAM (2 x 4 GB)</t>
  </si>
  <si>
    <t>RAM Feature 08</t>
  </si>
  <si>
    <t>4 GB DDR4-2133 SDRAM (1 x 4 GB)</t>
  </si>
  <si>
    <t>RAM Feature 09</t>
    <phoneticPr fontId="8" type="noConversion"/>
  </si>
  <si>
    <t>RAM Feature 10</t>
  </si>
  <si>
    <t>Memory Slots</t>
  </si>
  <si>
    <t>memslots</t>
  </si>
  <si>
    <t>RAM Feature 11</t>
  </si>
  <si>
    <t xml:space="preserve">2 SODIMM </t>
  </si>
  <si>
    <t>2 SODIMM</t>
  </si>
  <si>
    <t>RAM Feature 12</t>
  </si>
  <si>
    <t>Supports Dual Channel Memory</t>
  </si>
  <si>
    <t>Both slots are customer accessible / upgradeable</t>
  </si>
  <si>
    <t>RAM Feature 13</t>
  </si>
  <si>
    <t>DDR4 PC4 SODIMMS, system runs at 2133 (KBL-R runs at 2400)</t>
  </si>
  <si>
    <t>RAM Feature 14</t>
  </si>
  <si>
    <t>RAM Feature 15</t>
  </si>
  <si>
    <t>RAM Feature 16</t>
  </si>
  <si>
    <t>RAM Feature 17</t>
  </si>
  <si>
    <t>RAM Feature 18</t>
  </si>
  <si>
    <t>[14] Due to the non-industry standard nature of some third-party memory modules, we recommend HP branded memory to ensure compatibility. If you mix memory speeds, the system will perform at the lower memory speed.</t>
  </si>
  <si>
    <t>All slots are non-accessible / non-upgradeable.</t>
  </si>
  <si>
    <t>Due to the non-industry standard nature of some third-party memory modules, we recommend HP branded memory to ensure compatibility. If you mix memory speeds, the system will perform at the lower memory speed.</t>
  </si>
  <si>
    <t>Networking /Communications</t>
  </si>
  <si>
    <t>Broadband Wireless (WWAN)[1],[2],[3]</t>
  </si>
  <si>
    <t>WLAN</t>
  </si>
  <si>
    <t>wirelesstech</t>
  </si>
  <si>
    <t>Networking 01</t>
  </si>
  <si>
    <t>Mediatek RZ616 Wi-Fi 6E Bluetooth® 5.3 AIM-T WLAN [16]</t>
  </si>
  <si>
    <t>Intel® Wi-Fi CERTIFIED 6™ AX201 (2x2) and Bluetooth® 5 combo, vPro®</t>
  </si>
  <si>
    <t>wirelesstechnote</t>
  </si>
  <si>
    <t>Networking 02</t>
  </si>
  <si>
    <t>Realtek 8852CE Wi-Fi 6E + BT5.2 M.2 2230 PCI-e+ USB World-Wide WLAN [15]</t>
  </si>
  <si>
    <t>Intel® Wi-Fi CERTIFIED 6™ AX201 (2x2) and Bluetooth® 5 combo, non-vPro®</t>
  </si>
  <si>
    <t>Networking 03</t>
  </si>
  <si>
    <t>Intel® Wi-Fi CERTIFIED 6™ AX200 (2x2) and Bluetooth® 5 combo, vPro®</t>
  </si>
  <si>
    <t>Networking 04</t>
  </si>
  <si>
    <t>Intel® Wi-Fi CERTIFIED 6™ AX200 (2x2) and Bluetooth® 5 combo, non-vPro®</t>
  </si>
  <si>
    <t>Networking 05</t>
  </si>
  <si>
    <t>Mediatek 8852AE Wi-Fi CERTIFIED 6E™ (2x2) and Bluetooth® 5.2 combo</t>
  </si>
  <si>
    <t>Networking 06</t>
  </si>
  <si>
    <t>Realtek RTL8822CE 802.11a/b/g/n/ac (2x2) Wi-Fi® with Bluetooth® 5 Combo</t>
  </si>
  <si>
    <t>WWAN</t>
  </si>
  <si>
    <t>Intel® XMM™ 7560 R+ LTE-Advanced Pro WWAN [17]</t>
  </si>
  <si>
    <t>Intel® XMM™ 7360 LTE-Advanced Cat 9</t>
  </si>
  <si>
    <t>Networking 07</t>
  </si>
  <si>
    <t>Intel® XMM™ 7560 LTE-Advanced Pro Cat 16</t>
  </si>
  <si>
    <t>Networking 08</t>
  </si>
  <si>
    <t>Intel® XMM™ 7262 LTE-Advanced Cat 6</t>
  </si>
  <si>
    <t>Networking 09</t>
  </si>
  <si>
    <t>Qualcomm® Snapdragon™ X55 5G LTE Cat 20</t>
  </si>
  <si>
    <t xml:space="preserve">NFC </t>
  </si>
  <si>
    <t>Networking 10</t>
  </si>
  <si>
    <t>NFC Mirage WNC XRAV-1</t>
  </si>
  <si>
    <t>Near Field Communication (NFC) module</t>
  </si>
  <si>
    <t>Networking 11</t>
  </si>
  <si>
    <t>HP Module with NXP NFC Controller NPC300 I2C NCI</t>
  </si>
  <si>
    <t>Miracast</t>
  </si>
  <si>
    <t>Networking 12</t>
  </si>
  <si>
    <t>Native Miracast Support [18]</t>
  </si>
  <si>
    <t>Native Miracast Support</t>
  </si>
  <si>
    <t>Networking 13</t>
  </si>
  <si>
    <t>Networking 14</t>
  </si>
  <si>
    <t>Ethernet</t>
  </si>
  <si>
    <t>netinterface</t>
  </si>
  <si>
    <t>Networking 15</t>
  </si>
  <si>
    <t>Integrated 10/100/1000 GbE</t>
  </si>
  <si>
    <t>Networking 16</t>
  </si>
  <si>
    <t>Realtek RTL8111EP 10/100/1000 GbE NIC</t>
  </si>
  <si>
    <t>Networking 17</t>
  </si>
  <si>
    <t>[15] Wireless access point and internet service required and sold separately. Availability of public wireless access points limited. Wi-Fi 6 is backwards compatible with prior 802.11 specs.</t>
  </si>
  <si>
    <t>Wireless access point and Internet service required and sold separately. Availability of public wireless access points limited. Wi-Fi 6 (802.11ax) is backwards compatible with prior 802.11 specs.</t>
  </si>
  <si>
    <t>[16] Wi-Fi 6E requires a Wi-Fi 6E router, sold separately, to function in the 6GHz band. Availability of public wireless access points limited. Wi-Fi 6E is backwards compatible with prior 802.11 specs. And available in countries where Wi-Fi 6E is supported.</t>
  </si>
  <si>
    <t>Wireless access point and internet service required and sold separately. Availability of public wireless access points limited. Wi-Fi 5 (802.11 ac) is backwards compatible with prior 802.11 specs.</t>
  </si>
  <si>
    <t>[17] WWAN module is an optional feature, requires factory configuration and requires separately purchased service contract. Check with service provider for coverage and availability in your area. Connection speeds will vary due to location, environment, network conditions, and other factors. 4G LTE not available on all products, in all regions.</t>
  </si>
  <si>
    <t>Wi-Fi 6E requires a Wi-Fi 6E router, and Windows 11, to function in the 6GHz band. Availability of public wireless access points limited. Wi-Fi 6E is backwards compatible with prior 802.11 specs. And available in countries where Wi-Fi 6E is supported.</t>
  </si>
  <si>
    <t>[18] Miracast is a wireless technology your PC can use to project your screen to TVs, projectors, and streaming.</t>
  </si>
  <si>
    <t>WWAN module is an optional feature, requires factory configuration and requires separately purchased service contract. Check with service provider for coverage and availability in your area. Connection speeds will vary due to location, environment, network conditions, and other factors. 4G LTE not available on all products, in all regions.</t>
  </si>
  <si>
    <t>The term "10/100/1000" or "Gigabit" Ethernet indicates compatibility with IEEE standard 802.3ab for Gigabit Ethernet, and does not connote actual operating speed of 1 Gb/s. For high-speed transmission, connection to a Gigabit Ethernet server and network infrastructure is required.</t>
  </si>
  <si>
    <t>Miracast is a wireless technology your PC can use to project your screen to TVs, projectors, and streaming.</t>
  </si>
  <si>
    <t>Gigabit class Category 16 4G LTE module is optional and must be configured at the factory. Module designed for up to 1 Gbps download speeds as carriers deploy 5 carrier aggregation and 100Mhz channel bandwidth, requires activation and separately purchased service contract. Backwards compatible to HSPA 3G technologies. Check with service provider for coverage and availability in your area. Connection, upload and download speeds will vary due to network, location, environment, network conditions, and other factors. 4G LTE not available on all products, in all regions.</t>
  </si>
  <si>
    <t>Standalone GPS is an optional feature and requires factory configuration. GPS and WWAN are mutually exclusive.</t>
  </si>
  <si>
    <t>Audio/Multimedia</t>
  </si>
  <si>
    <t>Audio</t>
  </si>
  <si>
    <t>miracast</t>
  </si>
  <si>
    <t>audiofeat</t>
  </si>
  <si>
    <t>Audio 01</t>
  </si>
  <si>
    <t>Audio by Bang &amp; Olufsen</t>
  </si>
  <si>
    <t>Audio 02</t>
  </si>
  <si>
    <t>2 Integrated stereo speakers</t>
  </si>
  <si>
    <t>Audio 03</t>
  </si>
  <si>
    <t>Integrated dual array microphone</t>
  </si>
  <si>
    <t xml:space="preserve">Speaker Power </t>
  </si>
  <si>
    <t>Speaker 01</t>
  </si>
  <si>
    <t>2W/4ohm Per speaker</t>
  </si>
  <si>
    <t>Camera</t>
  </si>
  <si>
    <t>camera</t>
  </si>
  <si>
    <t>Camera 01</t>
  </si>
  <si>
    <t>Dual Array Digital Microphone 5MP USB2 Narrow Field of View Integrated Camera</t>
  </si>
  <si>
    <t>720p HD camera</t>
  </si>
  <si>
    <t>Camera 02</t>
  </si>
  <si>
    <t>Dual Array Digital Microphone 5MP USB2 Infrared Narrow Field of View Integrated Camera</t>
  </si>
  <si>
    <t>User-facing 1 MP HD camera</t>
  </si>
  <si>
    <t>Webcam</t>
  </si>
  <si>
    <t>Webcam 01</t>
  </si>
  <si>
    <t>VGA webcam</t>
  </si>
  <si>
    <t>Webcam 02</t>
  </si>
  <si>
    <t>World-facing 1080p secondary camera</t>
  </si>
  <si>
    <t>Optical Drive</t>
  </si>
  <si>
    <t>cdromdvd</t>
  </si>
  <si>
    <t>Optical Drive 01</t>
  </si>
  <si>
    <t>Blu-ray ROM DVD-Writer</t>
  </si>
  <si>
    <t>Optical Drive 02</t>
  </si>
  <si>
    <t>DVD-Writer</t>
  </si>
  <si>
    <t>Internet access required.</t>
  </si>
  <si>
    <t>Unit shipped with either "DVD+/-RW SuperMulti DL" or "DVD Writer Drive." Units undergoing repairs may be returned with a "DVD+/-RW SuperMulti DL."</t>
  </si>
  <si>
    <t>HD-DVD disks cannot be played on this drive. No support for DVDRAM. Actual speeds may vary. Don't copy copyright protected materials. Double Layer discs can store more data than single layer discs; discs burned with this drive may not be compatible with many existing single-layer DVD drives and players.</t>
  </si>
  <si>
    <t>Keyboards/Pointing Devices/Buttons &amp; Function Keys</t>
  </si>
  <si>
    <t>Keyboard</t>
  </si>
  <si>
    <t>keybrd</t>
  </si>
  <si>
    <t>Keyboard 01</t>
  </si>
  <si>
    <t>HP Premium Keyboard, spill resistant with numeric keypad and optional Backlit keyboard [19]</t>
  </si>
  <si>
    <t>HP Premium Keyboard, full-size, spill resistant with numeric keypad and optional backlit</t>
  </si>
  <si>
    <t>Keyboard 02</t>
  </si>
  <si>
    <t>HP Advanced Keyboard, Spill-resistant with drain, optional DuraKeys and backlit</t>
  </si>
  <si>
    <t>Keyboard 03</t>
  </si>
  <si>
    <t>Full-size island-style, backlit, spill and pick resistant keyboard</t>
  </si>
  <si>
    <t>Pointing Device</t>
  </si>
  <si>
    <t>mousepntgdevice</t>
  </si>
  <si>
    <t>Pointingdevice 01</t>
  </si>
  <si>
    <t>Clickpad with multi-touch gesture support, taps enabled as default</t>
  </si>
  <si>
    <t>Clickpad with multi-touch gesture support</t>
  </si>
  <si>
    <t>Pointingdevice 02</t>
  </si>
  <si>
    <t>Microsoft Precision Touchpad Default Gestures Support</t>
  </si>
  <si>
    <t>Glass ClickPad with multi-touch gesture support, taps enabled as default</t>
  </si>
  <si>
    <t>Pointingdevice 03</t>
  </si>
  <si>
    <t>Touchpad with multi-touch gesture support, LED indicator, two-way scroll, two buttons</t>
  </si>
  <si>
    <t>Function Keys</t>
  </si>
  <si>
    <t>Keyboard 04</t>
  </si>
  <si>
    <t>F1 - Display Switching</t>
  </si>
  <si>
    <t>ESC: system information</t>
  </si>
  <si>
    <t>Keyboard 05</t>
  </si>
  <si>
    <t>F2 - Blank or Privacy</t>
  </si>
  <si>
    <t xml:space="preserve">F1 - Display Switching </t>
  </si>
  <si>
    <t>Keyboard 06</t>
  </si>
  <si>
    <t>F3 - Brightness Down</t>
  </si>
  <si>
    <t>F2 - Blank</t>
  </si>
  <si>
    <t>Keyboard 07</t>
  </si>
  <si>
    <t>F4 - Brightness Up</t>
  </si>
  <si>
    <t>Keyboard 08</t>
  </si>
  <si>
    <t>F5 - Audio Mute</t>
  </si>
  <si>
    <t>Keyboard 09</t>
  </si>
  <si>
    <t>F6 - Volume Down</t>
  </si>
  <si>
    <t>F5 - Speaker Mute</t>
  </si>
  <si>
    <t>Keyboard 10</t>
  </si>
  <si>
    <t>F7 - Volume Up</t>
  </si>
  <si>
    <t>Keyboard 11</t>
  </si>
  <si>
    <t>F8 - Mic Mute</t>
  </si>
  <si>
    <t>F7 – Volume Up</t>
  </si>
  <si>
    <t>Keyboard 12</t>
  </si>
  <si>
    <t>F9 - Blank or Backlit Toggle</t>
  </si>
  <si>
    <t>Keyboard 13</t>
  </si>
  <si>
    <t>F10 - Insert</t>
  </si>
  <si>
    <t>F9 - Backlight Toggle (for backlit keyboard) or Blank</t>
  </si>
  <si>
    <t>Keyboard 14</t>
  </si>
  <si>
    <t>F11 - Airplane Mode</t>
  </si>
  <si>
    <t>F10 - Blank</t>
  </si>
  <si>
    <t>Keyboard 15</t>
  </si>
  <si>
    <t>F12 - HP Command Center (Programmable Key)</t>
  </si>
  <si>
    <t>F11 - Wifi Toggle</t>
  </si>
  <si>
    <t>Keyboard 16</t>
  </si>
  <si>
    <t>Print Screen</t>
  </si>
  <si>
    <t>F12 - Print Screen</t>
  </si>
  <si>
    <t>Keyboard 17</t>
  </si>
  <si>
    <t>Power Button (with LED)</t>
  </si>
  <si>
    <t>Keyboard 18</t>
  </si>
  <si>
    <t>Hidden Function Keys</t>
  </si>
  <si>
    <t>Keyboard 19</t>
  </si>
  <si>
    <t>Fn+R - Break</t>
  </si>
  <si>
    <t>Keyboard 20</t>
  </si>
  <si>
    <t>Fn+S - Sys Rq</t>
  </si>
  <si>
    <t>Keyboard 21</t>
  </si>
  <si>
    <t>Fn+C - Scroll Lock</t>
  </si>
  <si>
    <t>[19] Backlit keyboard is an optional feature.</t>
  </si>
  <si>
    <t>Backlit keyboard is an optional feature.</t>
  </si>
  <si>
    <t>Software and Security</t>
  </si>
  <si>
    <t xml:space="preserve">Preinstalled Software </t>
  </si>
  <si>
    <t>Software</t>
  </si>
  <si>
    <t>Software 01</t>
  </si>
  <si>
    <t>HP Easy Clean</t>
  </si>
  <si>
    <t>Buy Office (sold separately)</t>
  </si>
  <si>
    <t>Software 02</t>
  </si>
  <si>
    <t>HP PC Hardware Diagnostics Windows</t>
  </si>
  <si>
    <t>HP ePrint</t>
  </si>
  <si>
    <t>Software 03</t>
  </si>
  <si>
    <t>myHP</t>
  </si>
  <si>
    <t>HP Support Assistant</t>
  </si>
  <si>
    <t>Software 04</t>
  </si>
  <si>
    <t>HP Smart Support [20]</t>
  </si>
  <si>
    <t>HP Recovery Manager</t>
  </si>
  <si>
    <t>Software 05</t>
  </si>
  <si>
    <t>HP Services Scan [21]</t>
  </si>
  <si>
    <t>HP CoolSense</t>
  </si>
  <si>
    <t>Software 06</t>
  </si>
  <si>
    <t>HP Connection Optimizer</t>
  </si>
  <si>
    <t>HP Workwise</t>
  </si>
  <si>
    <t>Software 07</t>
  </si>
  <si>
    <t>HP Hotkey Support</t>
  </si>
  <si>
    <t>HP School Pack (includes HP Classroom Manager, HP Adaptive Leaning created by Fishtree, Corinth Classroom, Classlink, HP Touchpoint Manager and more)</t>
  </si>
  <si>
    <t>Software 08</t>
  </si>
  <si>
    <t>HP Support Assistant [22]</t>
  </si>
  <si>
    <t>Software 09</t>
  </si>
  <si>
    <t>HP Notifications</t>
  </si>
  <si>
    <t>Software 10</t>
  </si>
  <si>
    <t>HP Privacy Settings</t>
  </si>
  <si>
    <t>McAfee® LiveSafe™ 30 day trial</t>
  </si>
  <si>
    <t>Software 11</t>
  </si>
  <si>
    <t>HP Power Manager</t>
  </si>
  <si>
    <t>HP Wolf Pro Security Edition</t>
  </si>
  <si>
    <t>Software 12</t>
  </si>
  <si>
    <t>Buy Microsoft Office (Sold separately)</t>
  </si>
  <si>
    <t>HP Smart Support</t>
  </si>
  <si>
    <t>Manageability Features</t>
  </si>
  <si>
    <t>HP Services Scan</t>
  </si>
  <si>
    <t>Software 13</t>
  </si>
  <si>
    <t>HP Connect [23]</t>
  </si>
  <si>
    <t>Software 14</t>
  </si>
  <si>
    <t>HP Image Assistant Gen5 (download)</t>
  </si>
  <si>
    <t>HP 3D DriveGuard</t>
  </si>
  <si>
    <t>Software 15</t>
  </si>
  <si>
    <t>HP Manageability Integration Kit (download) [24]</t>
  </si>
  <si>
    <t>HP Management Integration Kit for Microsoft System Center Configuration Manager</t>
  </si>
  <si>
    <t>Software 16</t>
  </si>
  <si>
    <t>HP Client Management Script Library (download)</t>
  </si>
  <si>
    <t>HP Touchpoint Manager</t>
  </si>
  <si>
    <t>Software 17</t>
  </si>
  <si>
    <t>HP Patch Assistant (download) [25]</t>
  </si>
  <si>
    <t>HP Driver Packs</t>
  </si>
  <si>
    <t>Software 18</t>
  </si>
  <si>
    <t>HP Driver Packs (download)</t>
  </si>
  <si>
    <t>HP SoftPaq Download Manager (SDM) preinstalled</t>
  </si>
  <si>
    <t>Software 19</t>
  </si>
  <si>
    <t>HP Client Catalog (download)</t>
  </si>
  <si>
    <t>LANDESK Management</t>
  </si>
  <si>
    <t>Software 20</t>
  </si>
  <si>
    <t>HP Cloud Recovery [26]</t>
  </si>
  <si>
    <t>Security Management</t>
  </si>
  <si>
    <t>securitymgmt</t>
  </si>
  <si>
    <t>Software 21</t>
  </si>
  <si>
    <t>HP Wolf Security for Business [27] includes:</t>
  </si>
  <si>
    <t>TPM 2.0</t>
  </si>
  <si>
    <t>Software 22</t>
  </si>
  <si>
    <t>HP Sure Click [28]</t>
  </si>
  <si>
    <t>Fingerprint reader</t>
  </si>
  <si>
    <t>Software 23</t>
  </si>
  <si>
    <t>HP Sure Sense [29]</t>
  </si>
  <si>
    <t>Security lock slot (Lock sold separately.)</t>
  </si>
  <si>
    <t>Software 24</t>
  </si>
  <si>
    <t>HP Sure Run [30]</t>
  </si>
  <si>
    <t>HP Password Manager</t>
  </si>
  <si>
    <t>Software 25</t>
  </si>
  <si>
    <t>HP Sure Recover [31]</t>
  </si>
  <si>
    <t>HP BIOSphere with HP Sure Start Gen 3</t>
  </si>
  <si>
    <t>Software 26</t>
  </si>
  <si>
    <t>HP Sure Start[32]</t>
  </si>
  <si>
    <t>HP Sure Start Gen3</t>
  </si>
  <si>
    <t>Software 27</t>
  </si>
  <si>
    <t>HP Tamper Lock</t>
  </si>
  <si>
    <t>Windows Defender</t>
  </si>
  <si>
    <t>Software 28</t>
  </si>
  <si>
    <t>HP Sure Admin [33]</t>
  </si>
  <si>
    <t>HP Sure Sense</t>
  </si>
  <si>
    <t>BIOS</t>
  </si>
  <si>
    <t xml:space="preserve">IPv6 Support - Yes </t>
  </si>
  <si>
    <t>Software 29</t>
  </si>
  <si>
    <t>HP BIOSphere Gen6 [35]</t>
  </si>
  <si>
    <t>Is the BIOS on this notebook ISO/IEC 19678:2015 (formerly NIST 800-147) compliant? Yes</t>
  </si>
  <si>
    <t>Updated to Support to align with industry and Mobile WS  3/29/2022</t>
  </si>
  <si>
    <t>Software 30</t>
  </si>
  <si>
    <t>HP Secure Erase [36]</t>
  </si>
  <si>
    <t>Software 31</t>
  </si>
  <si>
    <t>Absolute Persistence Module [37]</t>
  </si>
  <si>
    <t>Software 32</t>
  </si>
  <si>
    <t>BIOS Update via Network</t>
  </si>
  <si>
    <t>Software 33</t>
  </si>
  <si>
    <t>HP Wake on WLAN</t>
  </si>
  <si>
    <t>Software 34</t>
  </si>
  <si>
    <t>Secured-Core PC Enable [38]</t>
  </si>
  <si>
    <t>Software 35</t>
  </si>
  <si>
    <t>TPM 2.0 Embedded Security Chip (Common Criteria EAL4+ Certified) (FIPS 140-2 Level 2 Certified)</t>
  </si>
  <si>
    <t>Software 36</t>
  </si>
  <si>
    <t>HP Fingerprint Sensor [39]</t>
  </si>
  <si>
    <t>UEFI version: 2.7</t>
  </si>
  <si>
    <t>Class: Class 3</t>
  </si>
  <si>
    <t>20. HP Smart Support requires HP TechPulse to be installed. For more information about how to enable or to download HP Smart Support, please visit http://www.hp.com/smart-support .</t>
  </si>
  <si>
    <t xml:space="preserve">21.HP Services Scan is provided with Windows Update on select products and will check entitlement on each hardware device to determine if an HP TechPulse-enabled service has been purchased, and will download applicable software automatically. HP TechPulse is a telemetry and analytics platform that provides critical data around devices and applications and is not sold as a standalone service. HP TechPulse follows stringent GDPR privacy regulations and is ISO27001, ISO27701, ISO27017 and SOC2 Type2 certified for Information Security. Internet access with connection to TechPulse portal is required. For full system requirements or to disable this feature, please visit http://www.hpdaas.com/requirements. Not applicable in China. </t>
  </si>
  <si>
    <t>HP BIOSphere Gen6 features may vary depending on the platform and configuration.</t>
  </si>
  <si>
    <t>22. HP Support Assistance requires Windows and Internet Access</t>
  </si>
  <si>
    <t>HP Secure Erase for the methods outlined in the National Institute of Standards and Technology Special Publication 800-88 "Clear" sanitation method. HP Secure Erase does not support platforms with Intel® Optane™.</t>
  </si>
  <si>
    <t>23. HP Connect for Microsoft Endpoint Manager is available from the Azure Market Place for HP Pro, Elite, Z and Point-of-Sale PCs managed with Microsoft Endpoint Manager. Subscription to Microsoft Endpoint Manager required and sold separately. Network connection required.</t>
  </si>
  <si>
    <t>HP Wolf Security for Business requires Windows 10 or higher, includes various HP security features and is available on HP Pro, Elite, RPOS and Workstation products. See product details for included security features and OS requirement.</t>
  </si>
  <si>
    <t xml:space="preserve">24. HP Manageability Integration Kit can be downloaded from http://www8.hp.com/us/en/ads/clientmanagement/overview.html. </t>
  </si>
  <si>
    <t>HP Services Scan is provided with Windows Update on select products and will check entitlement on each hardware device to determine if an HP TechPulse-enabled service has been purchased, and will download applicable software automatically. HP TechPulse is a telemetry and analytics platform that provides critical data around devices and applications. For full system requirements or to disable this feature, please visit http://www.hpdaas.com/requirements . Not applicable in China.</t>
  </si>
  <si>
    <t>25. HP Patch Assistant available on select HP PCs with the HP Manageability Kit that are managed through Microsoft System Center Configuration Manager. HP Manageability Integration Kit can be downloaded from http://www8.hp.com/us/en/ads/clientmanagement/overview.html.</t>
  </si>
  <si>
    <t>HP Smart Support requires HP TechPulse to be installed. For more information about how to enable or to download HP Smart Support, please visit http://www.hp.com/smart-support .</t>
  </si>
  <si>
    <t>26. HP Cloud Recovery is available for Z by HP, HP Elite and Pro desktops and laptops PCs with Intel® or AMD processors and requires an open, wired network connection. Note: You must back up important files, data, photos, videos, etc. before use to avoid loss of data. Details please refer to: https://support.hp.com/us-en/document/c05115630.</t>
  </si>
  <si>
    <t>HP Support Assistant requires Windows and Internet access.</t>
  </si>
  <si>
    <t>27. HP Wolf Security for Business requires Windows 10 or higher, includes various HP security features and is available on HP Pro, Elite, RPOS and Workstation products. See product details for included security features and OS requirement.</t>
  </si>
  <si>
    <t>Some Tile features require optional subscription to Tile Premium. Tile application for Windows 10 available for download from the Windows Store. Mobile phone app available for download from App Store and Google Play. Requires iOS 11 and greater or Android 6.0 and greater see https://support.thetileapp.com/hc/en-us/articles/200424778 for more information. Tile will function as long as the PC has battery power.</t>
  </si>
  <si>
    <t>28. HP Sure Click requires Windows 10 Pro or higher or Enterprise. See https://bit.ly/2PrLT6A_SureClick for complete details.</t>
  </si>
  <si>
    <t>Absolute agent is shipped turned off, and will be activated when customers activate a purchased subscription. Subscriptions can be purchased for terms ranging multiple years. Service is limited, check with Absolute for availability outside the U.S. The Absolute Recovery Guarantee is a limited warranty. Certain conditions apply. For full details visit: http://www.absolute.com/company/legal/agreements/ computrace-agreement . Data Delete is an optional service provided by Absolute Software. If utilized, the Recovery Guarantee is null and void. In order to use the Data Delete service, customers must first sign a Pre-Authorization Agreement and either obtain a PIN or purchase one or more RSA SecurID tokens from Absolute Software.</t>
  </si>
  <si>
    <t>29. HP Sure Sense is available on select HP PCs with Windows 10 Pro, Windows 10 Enterprise, Windows 11 Pro, or Windows 11 Enterprise OS25. HP Sure Run Gen5 is available on select HP PCs and requires Windows 10 and higher.26. HP Sure Recover Gen5 with Embedded Reimaging is an optional feature which requires Windows 10 and higher must be configured at purchase. You must back up important files, data, photos, videos, etc. before use to avoid loss of data. Network based recovery using Wi-Fi is only available on PCs with Intel Wi-Fi Module.</t>
  </si>
  <si>
    <t>HP Password Manager requires Internet Explorer or Chrome or FireFox.  Some websites and applications may not be supported.  User may need to enable or allow the add-on / extension in the internet browser.</t>
  </si>
  <si>
    <t>30.  HP Sure Run Gen5 is available on select HP PCs and requires Windows 10 and higher.</t>
  </si>
  <si>
    <t>HP Client Security Manager Gen7 requires Windows and is available on the select HP Elite and Pro PCs.</t>
  </si>
  <si>
    <t>31. HP Sure Recover Gen5 with Embedded Reimaging is an optional feature which requires Windows 10 and higher must be configured at purchase. You must back up important files, data, photos, videos, etc. before use to avoid loss of data. Network based recovery using Wi-Fi is only available on PCs with Intel Wi-Fi Module</t>
  </si>
  <si>
    <t>HP Manageability Integration Kit can be downloaded from http://www.hp.com/go/clientmanagement .</t>
  </si>
  <si>
    <t>32. HP Sure Start Gen7 is available on select HP PCs and requires Windows 10 and higher</t>
  </si>
  <si>
    <t>esto</t>
  </si>
  <si>
    <t>33. HP Sure Admin requires Windows 10 or higher, HP BIOS, HP Manageability Integration Kit from http://www.hp.com/go/clientmanagement and HP Sure Admin Local Access Authenticator smartphone app from the Android or Apple store</t>
  </si>
  <si>
    <t xml:space="preserve">HP Fingerprint sensor is an optional feature that must be configured at purchase.  </t>
  </si>
  <si>
    <t>34. HP Client Security Manager Gen7 requires Windows and is available on the select HP Elite and Pro PCs.</t>
  </si>
  <si>
    <t>HP Driver Packs not preinstalled, however available for download at http://www.hp.com/go/clientmanagement .</t>
  </si>
  <si>
    <t>35. HP BIOSphere Gen6 features may vary depending on the platform and configuration.</t>
  </si>
  <si>
    <t>HP WorkWise smartphone app is available as a free download on Google Play.</t>
  </si>
  <si>
    <t>36. HP Secure Erase for the methods outlined in the National Institute of Standards and Technology Special Publication 800-88 "Clear" sanitation method. HP Secure Erase does not support platforms with Intel® Optane™.</t>
  </si>
  <si>
    <t>HP Sure View integrated privacy screen is an optional feature that must be configured at purchase.</t>
  </si>
  <si>
    <t>37. Absolute firmware module is shipped turned off and can only be activated with the purchase a license subscription and full activation of the software agent.  License subscriptions can be purchased for terms ranging multiple years.  Service is limited, check with Absolute for availability outside the U.S.  Certain conditions apply.  For full details visit: https://www.absolute.com/about/legal/agreements/absolute/</t>
  </si>
  <si>
    <t>HP Sure Click requires Windows 10 Pro or higher or Enterprise. See https://protect-us.mimecast.com/s/ywg0CZ6yJyhQWvwP9fXlEsZ?domain=bit.ly for complete details.</t>
  </si>
  <si>
    <t>38. Secured-Core PC Enable requires an Intel® vPro® , AMD Ryzen™ Pro processor or Qualcomm® processor with SD850 or higher and requires 8 GB or more system memory. Secured-core PC is enabled from the factory.</t>
  </si>
  <si>
    <t>HP Quick Drop requires Internet access and Windows 10 or higher PC preinstalled with HP QuickDrop app and either an Android device (phone or tablet) running Android 7 or higher with the Android HP QuickDrop app, and /or an iOS device (phone or tablet) running iOS 12 or higher with the iOS HP QuickDrop app.</t>
  </si>
  <si>
    <t xml:space="preserve">39. HP Fingerprint sensor is an optional feature that must be configured at purchase.  </t>
  </si>
  <si>
    <t>FIPS certified self-encrypting drives available as an option on select HP PCs.</t>
  </si>
  <si>
    <t>RAID configuration is optional and does require a second hard drive.</t>
  </si>
  <si>
    <t>HP Sure Admin requires Windows 10 or higher, HP BIOS, HP Manageability Integration Kit from http://www.hp.com/go/clientmanagement and HP Sure Admin Local Access Authenticator smartphone app from the Android or Apple store.</t>
  </si>
  <si>
    <t>HP Device Access Manager requires HP Client Security Suite Gen4.</t>
  </si>
  <si>
    <t>HP Drive Lock and Automatic Drive Lock is only supported on NVMe drives.</t>
  </si>
  <si>
    <t>Windows Defender Opt In, Windows 10, and internet connection required for updates.</t>
  </si>
  <si>
    <t>HP Sure Start Gen7 is available on select HP PCs and requires Windows 10 and higher.</t>
  </si>
  <si>
    <t>HP Sure Run Gen5 is available on select HP PCs and requires Windows 10 and higher.</t>
  </si>
  <si>
    <t>HP Sure Recover Gen5 with Embedded Reimaging is an optional feature which requires Windows 10 and must be configured at purchase. You must back up important files, data, photos, videos, etc. before use to avoid loss of data. Network based recovery using Wi-Fi is only available on PC’s with Intel Wi-Fi Module.</t>
  </si>
  <si>
    <t>HP Sure Sense is available on select HP PCs with Windows 10 Pro, Windows 10 Enterprise, Windows 11 Pro, or Windows 11 Enterprise OS.</t>
  </si>
  <si>
    <t>30-day McAfee® LiveSafe™ trial included. Internet access required and not included. Subscription required after expiration. See www.McAfee.com for more details.</t>
  </si>
  <si>
    <t>HP Patch Assistant available on select HP PCs with the HP Manageability Kit that are managed through Microsoft System Center Configuration Manager. HP Manageability Integration Kit can be downloaded from http://www8.hp.com/us/en/ads/clientmanagement/overview.html .</t>
  </si>
  <si>
    <t>HP Cloud Recovery is available for Z by HP, HP Elite and Pro desktops and laptops PCs with Intel® or AMD processors and requires an open, wired network connection. Note: You must back up important files, data, photos, videos, etc. before use to avoid loss of data. Detail please refer to: https://support.hp.com/us-en/document/c05115630 .</t>
  </si>
  <si>
    <t>HP Connect for Microsoft Endpoint Manager is available from the Azure Market Place for HP Pro, Elite, Z and Point-of-Sale PCs managed with Microsoft Endpoint Manager. Subscription to Microsoft Endpoint Manager required and sold separately. Network connection required.</t>
  </si>
  <si>
    <t>Secured Core PC requires an Intel® vPro®, AMD Ryzen™ Pro processor or Qualcomm® processor with SD850 or higher and requires 8 GB or more system memory. Secured Core PC functionality can be enabled from the factory.</t>
  </si>
  <si>
    <t>Power</t>
  </si>
  <si>
    <t>Power Supply [16]</t>
  </si>
  <si>
    <t>powersupply</t>
  </si>
  <si>
    <t>Power 01</t>
  </si>
  <si>
    <t>HP 100W+10W Slim USB-C+USB-A AC power adapter [38]</t>
  </si>
  <si>
    <t>HP Smart 90 W External AC power adapter</t>
  </si>
  <si>
    <t>Power 02</t>
  </si>
  <si>
    <t>HP Smart 65 W USB Type-C adapter [38]</t>
  </si>
  <si>
    <t>HP Smart 65 W External AC power adapter</t>
  </si>
  <si>
    <t>Power 03</t>
  </si>
  <si>
    <t>HP Smart 65 W EM External AC power adapter</t>
  </si>
  <si>
    <t>Power 04</t>
  </si>
  <si>
    <t>HP Smart 65 W USB Type-C® adapter</t>
  </si>
  <si>
    <t>Power 05</t>
  </si>
  <si>
    <t>HP Smart 45 W External AC power adapter</t>
  </si>
  <si>
    <t xml:space="preserve">Battery </t>
  </si>
  <si>
    <t>batterytype</t>
  </si>
  <si>
    <t>Battery 01</t>
  </si>
  <si>
    <t>HP Long Life 3-cell, 51 Wh Polymer [39,40]</t>
  </si>
  <si>
    <t>HP Long Life 3-cell, 42 Wh Polymer</t>
  </si>
  <si>
    <t>Battery 02</t>
  </si>
  <si>
    <t>HP Long Life 6-cell, 76 Wh Polymer [39,40]</t>
  </si>
  <si>
    <t>HP Long Life 3-cell, 51 Wh Polymer</t>
  </si>
  <si>
    <t xml:space="preserve">Compliant with UL 1642 Standard </t>
  </si>
  <si>
    <t>Added March 2022</t>
  </si>
  <si>
    <t xml:space="preserve">Power Cord </t>
  </si>
  <si>
    <t>Chord 01</t>
  </si>
  <si>
    <t>3-wire plug - 1m</t>
  </si>
  <si>
    <t>Chord 02</t>
  </si>
  <si>
    <t>2-wire plug - 1m</t>
  </si>
  <si>
    <t>3-wire plug - 1.8m</t>
  </si>
  <si>
    <t>Chord 03</t>
  </si>
  <si>
    <t xml:space="preserve">Battery life </t>
  </si>
  <si>
    <t>batterylifedes</t>
  </si>
  <si>
    <t>Battery Life 01</t>
  </si>
  <si>
    <t>TBC</t>
  </si>
  <si>
    <t>Up to 12 hours (HP Long Life 3-cell, 42 Wh Polymer, UMA graphic, Intel xx generation CPU, 400 nits display, 16 GB memory, 256 GB SSD)</t>
  </si>
  <si>
    <t>Include additional spec: panel, memory, SSD</t>
  </si>
  <si>
    <t>Battery Life 02</t>
  </si>
  <si>
    <t>Up to 10 hours (HP Long Life 3-cell, 51 Wh Polymer, UMA graphic, Intel xx generation CPU, 400 nits display, 16 GB memory, 256 GB SSD)</t>
  </si>
  <si>
    <t>Battery Weight</t>
  </si>
  <si>
    <t>Battery Weight (imperial)</t>
  </si>
  <si>
    <t>HP Long Life 3-cell - 42 Wh Polymer - .42 lb</t>
  </si>
  <si>
    <t>HP Long Life 3-cell - 51 Wh Polymer - .66 lb</t>
  </si>
  <si>
    <t>Battery Weight (metric)</t>
  </si>
  <si>
    <t>HP Long Life 3-cell - 42 Wh Polymer - 190 g</t>
  </si>
  <si>
    <t>grams</t>
  </si>
  <si>
    <t xml:space="preserve">HP Long Life 3-cell - 51 Wh Polymer - 300 g
</t>
  </si>
  <si>
    <t>[38] Availability may vary by country.</t>
  </si>
  <si>
    <t>Availability may vary by country.</t>
  </si>
  <si>
    <t>[39] Battery is internal and not replaceable by customer. Serviceable by warranty.</t>
  </si>
  <si>
    <t>Battery is internal and not replaceable by customer. Serviceable by warranty.</t>
  </si>
  <si>
    <t>[40] Actual battery Watt-hours (Wh) will vary from design capacity. Battery capacity will naturally decrease with shelf life, time, usage, environment, temperature, system configuration, loaded apps, features, power management settings and other factors.</t>
  </si>
  <si>
    <t>Windows 10 MM14 battery life will vary depending on various factors including product model, configuration, loaded applications, features, use, wireless functionality, and power management settings. The maximum capacity of the battery will naturally decrease with time and usage. See www.bapco.com for additional details.</t>
  </si>
  <si>
    <t>Windows MM18 battery life will vary depending on various factors including product model, configuration, loaded applications, features, use, wireless functionality, and power management settings. The maximum capacity of the battery will naturally decrease with time and usage. See www.bapco.com for additional details.</t>
  </si>
  <si>
    <t>Testing conducted by HP using Google Chrome OS power_LoadTest. Battery life will vary and the maximum capacity of the battery will naturally decrease with time and usage and battery optimization activation. See http://www.chromium.org/chromium-os/testing/power-testing for test details.</t>
  </si>
  <si>
    <t xml:space="preserve">Recharges your battery up to 50% within 30 minutes when the system is off or in standby mode. Power adapter with a minimum capacity of 65 watts is required. After charging has reached 50% capacity, charging will return to normal. Charging time may vary +/-10% due to System tolerance. </t>
  </si>
  <si>
    <t>Recharges up to 90% within 90 minutes when the system is off or in standby mode when used with the power adapter provided with the notebook. After charging has reached 90% capacity, charging speed will return to normal. Charging time may vary +/-10% due to System tolerance.</t>
  </si>
  <si>
    <t>Actual battery Watt-hours (Wh) will vary from design capacity. Battery capacity will naturally decrease with shelf life, time, usage, environment, temperature, system configuration, loaded apps, features, power management settings and other factors.</t>
  </si>
  <si>
    <t>Weight &amp; Dimensions</t>
  </si>
  <si>
    <t>Weight[1]</t>
  </si>
  <si>
    <t>Weight and Dimensions</t>
  </si>
  <si>
    <t>Product Weight</t>
  </si>
  <si>
    <t>weightus</t>
  </si>
  <si>
    <t>Weight (imperial)</t>
  </si>
  <si>
    <t xml:space="preserve">Starting at 3.99 lb </t>
  </si>
  <si>
    <t xml:space="preserve">Starting at 3.83 lb </t>
  </si>
  <si>
    <t>weightmet</t>
  </si>
  <si>
    <t>Weight (metric)</t>
  </si>
  <si>
    <t>Starting at 1.81 kg</t>
  </si>
  <si>
    <t>Starting at 1.74 kg</t>
  </si>
  <si>
    <t>Package Weight</t>
  </si>
  <si>
    <t>Package Weight (imperial)</t>
  </si>
  <si>
    <t>Package Weight (metric)</t>
  </si>
  <si>
    <t>Product Dimensions (w x d x h)</t>
  </si>
  <si>
    <t>dimenus</t>
  </si>
  <si>
    <t>Dimensions (imperial)</t>
  </si>
  <si>
    <t>14.12 x 9.88 x 0.76 in</t>
  </si>
  <si>
    <t>16.29 x 10.87 x 0.89 in</t>
  </si>
  <si>
    <t>dimenmet</t>
  </si>
  <si>
    <t>Dimensions (metric)</t>
  </si>
  <si>
    <t>35.87 x 25.1 x 1.92 cm</t>
  </si>
  <si>
    <t>41.38 x 27.6 x 2.25 cm</t>
  </si>
  <si>
    <t>Package Dimensions (w x d x h)</t>
  </si>
  <si>
    <t>Package Dimensions (imperial)</t>
  </si>
  <si>
    <t>Package Dimensions (metric)</t>
  </si>
  <si>
    <t xml:space="preserve">[41] Weight will vary by configuration. Does not include power adapter. </t>
  </si>
  <si>
    <r>
      <t xml:space="preserve">Weight will vary by configuration. </t>
    </r>
    <r>
      <rPr>
        <sz val="11"/>
        <color rgb="FFFF0000"/>
        <rFont val="Calibri"/>
        <family val="2"/>
        <scheme val="minor"/>
      </rPr>
      <t xml:space="preserve">Does not include power adapter. </t>
    </r>
  </si>
  <si>
    <t xml:space="preserve"> </t>
  </si>
  <si>
    <t>Ports[1]</t>
  </si>
  <si>
    <t>Ports/Slots</t>
  </si>
  <si>
    <t>ioports</t>
  </si>
  <si>
    <t>Ports 01</t>
  </si>
  <si>
    <t>2 4 with USB4 Type-C® 40Gbps signaling rate (USB Power Delivery, DisplayPort™ 1.4)</t>
  </si>
  <si>
    <t>2 Thunderbolt™ 4 with USB4 Type-C® 40Gbps signaling rate (USB Power Delivery, DisplayPort™ 1.4)</t>
  </si>
  <si>
    <t>Ports 02</t>
  </si>
  <si>
    <t xml:space="preserve">2 Super Speed USB Type-A 5Gbps signaling rate (1 charging) </t>
  </si>
  <si>
    <t>2 SuperSpeed USB Type-C® 10Gbps signaling rate (USB Power Delivery, DisplayPort™ 1.4)</t>
  </si>
  <si>
    <t>Ports 03</t>
  </si>
  <si>
    <t>1 HDMI 2.0 [42]</t>
  </si>
  <si>
    <t>1 Super Speed USB Type-A 5Gbps signaling rate (1 charging)</t>
  </si>
  <si>
    <t>Ports 04</t>
  </si>
  <si>
    <t>1 Headphone/microphone combo jack</t>
  </si>
  <si>
    <t>2 USB 2.0</t>
  </si>
  <si>
    <t>Ports 05</t>
  </si>
  <si>
    <t>1 HDMI 2.0</t>
  </si>
  <si>
    <t>Ports 06</t>
  </si>
  <si>
    <t>1 RJ-45</t>
  </si>
  <si>
    <t>Ports 07</t>
  </si>
  <si>
    <t>1 AC power</t>
  </si>
  <si>
    <t>Ports 08</t>
  </si>
  <si>
    <t>Ports 09</t>
  </si>
  <si>
    <t>1 External Nano SIM slot for WWAN (optional)</t>
  </si>
  <si>
    <t xml:space="preserve">Expansion Slots </t>
  </si>
  <si>
    <t>expanslots</t>
  </si>
  <si>
    <t>1 SD</t>
  </si>
  <si>
    <t>1 multi-format digital media reader</t>
  </si>
  <si>
    <t>expanslotsnote</t>
  </si>
  <si>
    <t>Ports 10</t>
  </si>
  <si>
    <t>Supports SD, SDHC, SDXC</t>
  </si>
  <si>
    <t>[42] HDMI cable sold separately.</t>
  </si>
  <si>
    <t>SuperSpeed USB 20Gbps is not available with Thunderbolt™ 4.</t>
  </si>
  <si>
    <t>HDMI cable sold separately.</t>
  </si>
  <si>
    <t>SIM slot is not user accessible without WWAN configuration.</t>
  </si>
  <si>
    <t>Service and Support</t>
  </si>
  <si>
    <t>wrntyfeatures</t>
  </si>
  <si>
    <t>Warranty</t>
  </si>
  <si>
    <t xml:space="preserve">1-year warranty and 90 day software limited warranty options depending on country. Batteries have a default one year limited warranty except for HP Long Life batteries which will follow the one or three year warranty of the platform. Refer to http://www.hp.com/support/batterywarranty/ for additional battery information. On-site service and extended coverage is also available. HP Care Pack Services are optional extended service contracts that go beyond the standard limited warranties. To choose the right level of service for your HP product, use the HP Care Pack Services Lookup Tool at: http://www.hp.com/go/cpc. </t>
  </si>
  <si>
    <t xml:space="preserve">1-year and 3-year limited warranties and 90 day software limited warranty options depending on country. Batteries have a default one year limited warranty. Refer to http://www.hp.com/support/batterywarranty/ for additional battery information. On-site service and extended coverage is also available. HP Care Pack Services  are optional extended service contracts that go beyond the standard limited warranties. To choose the right level of service for your HP product, use the HP Care Pack Services Lookup Tool at: http://www.hp.com/go/cpc . </t>
  </si>
  <si>
    <t>Please, don't change the number between the brackets        12/11</t>
  </si>
  <si>
    <t>HP Care Packs are sold separately. Service levels and response times for HP Care Packs may vary depending on your geographic location. Service starts on date of hardware purchase. Restrictions and limitations apply. For details, visit http://www.hp.com/go/cpc . HP services are governed by the applicable HP terms and conditions of service provided or indicated to Customer at the time of purchase. Customer may have additional statutory rights according to applicable local laws, and such rights are not in any way affected by the HP terms and conditions of service or the HP Limited Warranty provided with your HP Product.</t>
  </si>
  <si>
    <t>Compatibility</t>
  </si>
  <si>
    <t>Top Accessories 01</t>
  </si>
  <si>
    <t>HP 925 Ergonomic Wireless Mouse 6H1A5AA</t>
  </si>
  <si>
    <t>HP USB-C Travel Dock T0K29AA</t>
  </si>
  <si>
    <t>Top Accessories 02</t>
  </si>
  <si>
    <t>HP 975 Dual-Mode Wireless Keyboard 3Z726AA</t>
  </si>
  <si>
    <t>HP Slim Wireless Keyboard and Mouse T6L04AA</t>
  </si>
  <si>
    <t>Top Accessories 03</t>
  </si>
  <si>
    <t>HP Universal USB-C Multiport Hub 50H55AA</t>
  </si>
  <si>
    <t>65W USB-C Power Adapter 1HE08AA</t>
  </si>
  <si>
    <t>Top Accessories 04</t>
  </si>
  <si>
    <t xml:space="preserve">USB-C 65W GaN Laptop Charger 600Q8AA </t>
  </si>
  <si>
    <t>HP External Portable USB3.0 HDD K6A93AA</t>
  </si>
  <si>
    <t>Top Accessories 05</t>
  </si>
  <si>
    <t xml:space="preserve">HP Renew Business 17.3 Laptop Backpack 3E2U5AA </t>
  </si>
  <si>
    <t>HP Keyed Cable lock T0Y14AA</t>
  </si>
  <si>
    <t>Certification and Compliance</t>
  </si>
  <si>
    <t>energyeffcomp</t>
  </si>
  <si>
    <t>Energy Efficiency Compliance</t>
  </si>
  <si>
    <t>ENERGY STAR® certified</t>
  </si>
  <si>
    <t xml:space="preserve">EPEAT® 2019 registered where applicable. EPEAT ® registration varies by country. See www.epeat.net for registration status by country. [43] </t>
  </si>
  <si>
    <t>EPEAT® 2019 registered where applicable. EPEAT ® registration varies by country. See www.epeat.net for registration status by country.</t>
  </si>
  <si>
    <t>environspec</t>
  </si>
  <si>
    <t>Environmental Specifications</t>
  </si>
  <si>
    <t xml:space="preserve">EPEAT® 2019 Gold [43] </t>
  </si>
  <si>
    <t>EPEAT® 2019 Gold</t>
  </si>
  <si>
    <t>TCO 8.0 Certified</t>
  </si>
  <si>
    <t>TCO 5.0 Certified</t>
  </si>
  <si>
    <t>Certification</t>
  </si>
  <si>
    <t xml:space="preserve">Medical EMC: IEC 60601-1-2:2014 EN60601-1-2: 2015 </t>
  </si>
  <si>
    <t xml:space="preserve">SEPA </t>
  </si>
  <si>
    <t>GS Mark</t>
  </si>
  <si>
    <t>CCC in Chinese</t>
  </si>
  <si>
    <t>CECP - APJ</t>
  </si>
  <si>
    <t>Sustainable Impact Specifications</t>
  </si>
  <si>
    <t>Sustainable Impact Specifications 01</t>
  </si>
  <si>
    <t>Low halogen</t>
  </si>
  <si>
    <t>Sustainable Impact Specifications 02</t>
  </si>
  <si>
    <t>Ocean-bound plastic in cover</t>
  </si>
  <si>
    <t>Sustainable Impact Specifications 03</t>
  </si>
  <si>
    <t>Ocean-Bound Plastic in cover, bezel, frame and speaker box</t>
  </si>
  <si>
    <t>Sustainable Impact Specifications 04</t>
  </si>
  <si>
    <t>Outside box and corrugated cushions are 100% sustainably sourced and recyclable</t>
  </si>
  <si>
    <t>Sustainable Impact Specifications 05</t>
  </si>
  <si>
    <t>Recycled plastic cushions</t>
  </si>
  <si>
    <t>Sustainable Impact Specifications 06</t>
  </si>
  <si>
    <t>5% post-consumer recycled plastic</t>
  </si>
  <si>
    <t>Sustainable Impact Specifications 07</t>
  </si>
  <si>
    <t>5% ITE-derived closed loop plastic</t>
  </si>
  <si>
    <t>Sustainable Impact Specifications 08</t>
  </si>
  <si>
    <t>Molded paper pulp cushion inside box is 100% sustainably sourced and recyclable</t>
  </si>
  <si>
    <t>Based on US EPEAT® registration according to IEEE 1680.1-2018 EPEAT®. Status varies by country. Visit www.epeat.net for more information.</t>
  </si>
  <si>
    <t>External power supplies, power cords, cables and peripherals are not Low Halogen. Service parts obtained after purchase may not be Low Halogen.</t>
  </si>
  <si>
    <t>Percentage of ocean-bound plastic contained in each component varies by product.</t>
  </si>
  <si>
    <t>100% outer box packaging and corrugated cushions made from sustainably sourced certified and recycled fibers.</t>
  </si>
  <si>
    <t>Plastic cushions are made from &gt;90% recycled plastic.</t>
  </si>
  <si>
    <t xml:space="preserve">Recycled plastic content percentage is based on the definition set in the IEEE 1680.1-2018 standard. </t>
  </si>
  <si>
    <t>ITE Derived Closed Loop Plastic percentage is based on the definition set in the IEEE 1680.1-2018 standard.</t>
  </si>
  <si>
    <t>Molded pulp cushions made from 100% recycled wood fiber and organic materials.</t>
  </si>
  <si>
    <t>Facets</t>
  </si>
  <si>
    <t>facet_maxres</t>
  </si>
  <si>
    <t>Maximum Resolution (facet)</t>
  </si>
  <si>
    <t>1920 x 1080</t>
  </si>
  <si>
    <t>CAS</t>
  </si>
  <si>
    <t>facet_scrnsizeus</t>
  </si>
  <si>
    <t>Screen Size, imperial (facet)</t>
  </si>
  <si>
    <t>14 (diagonal)</t>
  </si>
  <si>
    <t>The word "Diagonal is Mandatory</t>
  </si>
  <si>
    <t>facet_weightmet</t>
  </si>
  <si>
    <t>Weight, Metric (facet)</t>
  </si>
  <si>
    <t>facet_weightus</t>
  </si>
  <si>
    <t>Weight, Imperial (facet)</t>
  </si>
  <si>
    <t>cpyright</t>
  </si>
  <si>
    <t>Legal Disclaimer</t>
  </si>
  <si>
    <t>Copyright © 2022 HP Development Company, L.P. The only warranties for HP products are set forth in the express limited warranty statements accompanying such products. Nothing herein should be construed as constituting an additional warranty. HP shall not be liable for technical or editorial errors or omissions contained herein.</t>
  </si>
  <si>
    <t>trademark</t>
  </si>
  <si>
    <t>Trademark Information</t>
  </si>
  <si>
    <t>Intel, Core, Celeron, Pentium, Thunderbolt, Iris and Intel vPro are trademarks or registered trademarks of Intel Corporation or its subsidiaries in the United States and other countries. AMD and Radeon are trademarks of Advanced Micro Devices, Inc. NVIDIA, the NVIDIA logo are trademarks and/or registered trademarks of NVIDIA Corporation in the U.S. and other countries. Bluetooth is a trademark owned by its proprietor and used by HP Inc. under license. DisplayPort™ and the DisplayPort™ logo are trademarks owned by the Video Electronics Standards Association (VESA®) in the United States and other countries. USB Type-C® and USB-C® are registered trademarks of USB Implementers Forum. SDXC is a registered trademark of SD-3C in the United States, other countries or both. ENERGY STAR is a registered trademark of the U.S. Environmental Protection Agency. © 2022 Google LLC All rights reserved. Google and the Google Logo are registered trademarks of Google LLC. All other trademarks are the property of their respective owners.</t>
  </si>
  <si>
    <t xml:space="preserve">Examples / Legal comments </t>
  </si>
  <si>
    <t xml:space="preserve">Left </t>
  </si>
  <si>
    <t>image_001.jpg</t>
  </si>
  <si>
    <t>Numbered</t>
  </si>
  <si>
    <t>Internal microphones (2)</t>
  </si>
  <si>
    <t>Callout 01</t>
  </si>
  <si>
    <t>Ambient Light Sensor (Optional)</t>
  </si>
  <si>
    <t>Webcam and IR Camera</t>
  </si>
  <si>
    <t>Callout 02</t>
  </si>
  <si>
    <t>Internal Microphones (2)</t>
  </si>
  <si>
    <t>Webcam LED</t>
  </si>
  <si>
    <t>Callout 03</t>
  </si>
  <si>
    <t>Webcam LED (Optional)</t>
  </si>
  <si>
    <t>Callout 04</t>
  </si>
  <si>
    <t>Glass clickpad</t>
  </si>
  <si>
    <t>Callout 05</t>
  </si>
  <si>
    <t>Camera Shutter</t>
  </si>
  <si>
    <t>Audio combo jack</t>
  </si>
  <si>
    <t>Callout 06</t>
  </si>
  <si>
    <t>IR Camera (Optional)</t>
  </si>
  <si>
    <t>USB 3.1 Gen 1 charging port</t>
  </si>
  <si>
    <t>Callout 07</t>
  </si>
  <si>
    <t>IR Camera LEDs (Optional)</t>
  </si>
  <si>
    <t>Power button</t>
  </si>
  <si>
    <t>Callout 08</t>
  </si>
  <si>
    <t>Glass Clickpad</t>
  </si>
  <si>
    <t>Callout 09</t>
  </si>
  <si>
    <t>Smartcard Reader (Optional)</t>
  </si>
  <si>
    <t>Callout 10</t>
  </si>
  <si>
    <t>LED Indicator</t>
  </si>
  <si>
    <t>Callout 11</t>
  </si>
  <si>
    <t>USB4 Type-C® (USB Power Delivery, DisplayPort™ 1.4)</t>
  </si>
  <si>
    <t>Callout 12</t>
  </si>
  <si>
    <t>Callout 13</t>
  </si>
  <si>
    <t>SuperSpeed USB Type-A 5Gbps signaling rate</t>
  </si>
  <si>
    <t>Callout 14</t>
  </si>
  <si>
    <t>HDMI 2.0b Port (Cable not included)</t>
  </si>
  <si>
    <t>Callout 15</t>
  </si>
  <si>
    <t>Callout 16</t>
  </si>
  <si>
    <t>Callout 17</t>
  </si>
  <si>
    <t>Callout 18</t>
  </si>
  <si>
    <t>Callout 19</t>
  </si>
  <si>
    <t>Callout 20</t>
  </si>
  <si>
    <t xml:space="preserve">Right </t>
  </si>
  <si>
    <t>image_002.jpg</t>
  </si>
  <si>
    <t>USB Type-C™ with Thunderbolt™</t>
  </si>
  <si>
    <t>Power Button Key</t>
  </si>
  <si>
    <t>Audio Combo Jack</t>
  </si>
  <si>
    <t xml:space="preserve">SuperSpeed USB Type-A 5Gbps signaling rate (Charging) </t>
  </si>
  <si>
    <t>HDMI port (Cable not included.)</t>
  </si>
  <si>
    <t>Nano Security Lock Slot (Lock sold separately)</t>
  </si>
  <si>
    <t xml:space="preserve">WWAN SIM with plug (Plug is removable only for units with optional WWAN </t>
  </si>
  <si>
    <t>SIM Card Slot (Optional)</t>
  </si>
  <si>
    <t xml:space="preserve">Touch Fingerprint Sensor (Select models) </t>
  </si>
  <si>
    <t>At a Glance</t>
  </si>
  <si>
    <t>Bullets</t>
  </si>
  <si>
    <t>At a Glance 01</t>
  </si>
  <si>
    <t>New premium ultraslim design with precision-crafted all-metal chassis for a premium look and feel</t>
  </si>
  <si>
    <t>Preinstall Windows 10, FreeDOS 2.0 or NeoKylin Linux 64 versions</t>
  </si>
  <si>
    <t>At a Glance 02</t>
  </si>
  <si>
    <t>Latest AMD® Ryzen PRO and non-PRO 7000 U and HS series processors</t>
  </si>
  <si>
    <t>Choice of 7th generation Intel® Core™ i7, i5 and i3 processors</t>
  </si>
  <si>
    <t>At a Glance 03</t>
  </si>
  <si>
    <t xml:space="preserve">Preinstalled with Windows 11 versions or FreeDOS </t>
  </si>
  <si>
    <t>Display include your choice of  35.56 cm (14") diagonal IPS Wide viewing Angle, FHD or UHD, Touch or Non-Touch</t>
  </si>
  <si>
    <t>At a Glance 04</t>
  </si>
  <si>
    <t>New 16:10 ratio screen reduces the need to scroll by showing more vertical content than 16:9</t>
  </si>
  <si>
    <t xml:space="preserve">Integrated Intel® HD Graphics 620 </t>
  </si>
  <si>
    <t>At a Glance 05</t>
  </si>
  <si>
    <t>Optional ultrabright displays with HP Eye Ease, ambient light and ambient color sensors</t>
  </si>
  <si>
    <t>Enhanced security features including TPM2.0, SmartCard Reader, HP Sure Start self-healing BIOS, HP Client Security,
Self-Encrypting storage drives, and optional Fingerprint reader</t>
  </si>
  <si>
    <t>At a Glance 06</t>
  </si>
  <si>
    <r>
      <t>New 5MP camera</t>
    </r>
    <r>
      <rPr>
        <vertAlign val="superscript"/>
        <sz val="11"/>
        <color rgb="FF000000"/>
        <rFont val="Calibri"/>
        <family val="2"/>
        <scheme val="minor"/>
      </rPr>
      <t>4</t>
    </r>
    <r>
      <rPr>
        <sz val="11"/>
        <color rgb="FF000000"/>
        <rFont val="Calibri"/>
        <family val="2"/>
        <scheme val="minor"/>
      </rPr>
      <t xml:space="preserve"> with HP Auto Frame</t>
    </r>
    <r>
      <rPr>
        <vertAlign val="superscript"/>
        <sz val="11"/>
        <color rgb="FF000000"/>
        <rFont val="Calibri"/>
        <family val="2"/>
        <scheme val="minor"/>
      </rPr>
      <t xml:space="preserve">8 </t>
    </r>
    <r>
      <rPr>
        <sz val="11"/>
        <color rgb="FF000000"/>
        <rFont val="Calibri"/>
        <family val="2"/>
        <scheme val="minor"/>
      </rPr>
      <t xml:space="preserve">allows you around a little without losing viewers’ attention during video calls </t>
    </r>
  </si>
  <si>
    <t>Undergoes MIL-STD 810H tests [1]</t>
  </si>
  <si>
    <t>Updated January 21, 2021</t>
  </si>
  <si>
    <t>At a Glance 07</t>
  </si>
  <si>
    <t>New DDR5 5600 memory and PCI Gen4 SSDs provide fast access to your work.</t>
  </si>
  <si>
    <t>Weight starting at  TBD</t>
  </si>
  <si>
    <t>At a Glance 08</t>
  </si>
  <si>
    <t xml:space="preserve">Choice of displays: 
40.6 cm (16") diagonal WUXGA IPS Anti-Glare LED-backlit non-touch, 250 nits, 45% NTSC 
40.6 cm (16")  diagonal WUXGA IPS Anti-Glare On-Cell LED-backlit touch, 250 nits, 45% NTSC
40.6 cm (16")  diagonal WUXGA IPS Anti-Glare LED-backlit non-touch, 400 nits, 100% sRGB
40.6 cm (16") diagonal WUXGA IPS Anti-Glare LED-backlit non-touch, 1000 nits, 100% sRGB with HP Sure View Reflect </t>
  </si>
  <si>
    <t xml:space="preserve">Battery life up to x hours and x minutes </t>
  </si>
  <si>
    <t>At a Glance 09</t>
  </si>
  <si>
    <t>Redesigned keyboard layout to include easy use of discrete PgUp/Dn, End, and Home keys</t>
  </si>
  <si>
    <t xml:space="preserve">Supports wireless LAN and wireless WAN options for connectivity on the go  </t>
  </si>
  <si>
    <t>At a Glance 10</t>
  </si>
  <si>
    <t>Choose from 38Whr or 51Whr battery options</t>
  </si>
  <si>
    <t>Up to 1 TB Solid State Drives</t>
  </si>
  <si>
    <t>At a Glance 11</t>
  </si>
  <si>
    <r>
      <t>HP Wolf Security for Business creates a hardware-enforced, always-on, resilient defense.</t>
    </r>
    <r>
      <rPr>
        <vertAlign val="superscript"/>
        <sz val="11"/>
        <color rgb="FF000000"/>
        <rFont val="Calibri"/>
        <family val="2"/>
        <scheme val="minor"/>
      </rPr>
      <t>9</t>
    </r>
  </si>
  <si>
    <t>Up to 16 GB total system memory</t>
  </si>
  <si>
    <t>At a Glance 12</t>
  </si>
  <si>
    <t>Larger Clickpad surface for easier, more intuitive input</t>
  </si>
  <si>
    <t>Wi-Fi® 6 offered as default with up to 5G WWAN with 4x4 antennas and built-in optional eSIM</t>
  </si>
  <si>
    <t>At a Glance 13</t>
  </si>
  <si>
    <t>Connect almost anywhere with support for up to 5G wireless broadband technology with 4x4 antennas</t>
  </si>
  <si>
    <t>720p HD webcam, IR camera for face authentication with Windows Hello [5,12]</t>
  </si>
  <si>
    <t>At a Glance 14</t>
  </si>
  <si>
    <r>
      <t>Undergoes MIL-STD 810H tests</t>
    </r>
    <r>
      <rPr>
        <vertAlign val="superscript"/>
        <sz val="11"/>
        <color rgb="FF000000"/>
        <rFont val="Calibri"/>
        <family val="2"/>
        <scheme val="minor"/>
      </rPr>
      <t>1</t>
    </r>
  </si>
  <si>
    <t>Full size, backlit,  Keyboard and Clickpad with image sensor and  glass surface, multi-touch gestures enabled, taps enabled as default</t>
  </si>
  <si>
    <t>At a Glance 15</t>
  </si>
  <si>
    <r>
      <t>Supports fast charging (50% in 30 minutes) with no impact on battery recharge cycles</t>
    </r>
    <r>
      <rPr>
        <vertAlign val="superscript"/>
        <sz val="11"/>
        <color rgb="FF000000"/>
        <rFont val="Calibri"/>
        <family val="2"/>
        <scheme val="minor"/>
      </rPr>
      <t>3</t>
    </r>
  </si>
  <si>
    <t>At a Glance 16</t>
  </si>
  <si>
    <t>MIL-STD-810G testing is not intended to demonstrate fitness of U.S. Department of Defense (DoD) contract requirements or for military use. Test results are not a guarantee of future performance under these test conditions. Accidental damage requires an optional HP Accidental Damage Protection Care Pack.</t>
  </si>
  <si>
    <t>NOTE: See important legal disclosures for all listed specs in their respective features sections.</t>
  </si>
  <si>
    <t>System Unit</t>
  </si>
  <si>
    <t>Stand-Alone Power Requirements (AC Power)</t>
  </si>
  <si>
    <t>Type-C Adapter</t>
  </si>
  <si>
    <t>System Lead</t>
  </si>
  <si>
    <t>Nominal Operating Voltage</t>
  </si>
  <si>
    <t>AC 20V</t>
  </si>
  <si>
    <t>19 V</t>
  </si>
  <si>
    <t>Average Operating Power</t>
  </si>
  <si>
    <t>Integrated graphics</t>
  </si>
  <si>
    <t>Yes</t>
  </si>
  <si>
    <t>Discrete Graphics</t>
  </si>
  <si>
    <t>N/A</t>
  </si>
  <si>
    <t>Max Operating Power</t>
  </si>
  <si>
    <t>65W</t>
  </si>
  <si>
    <t>Discrete &lt; 65W 
UMA &lt; 45W</t>
  </si>
  <si>
    <t>Temperature</t>
  </si>
  <si>
    <t> </t>
  </si>
  <si>
    <t>Operating</t>
  </si>
  <si>
    <t>32° to 95° F (0° to 35° C)
(No sustained direct exposure to sunlight)
(System performance may be reduced above 32°C (89.6°F))</t>
  </si>
  <si>
    <t>32° to 95° F (0° to 35° C) (not writing optical)</t>
  </si>
  <si>
    <t>Non-operating</t>
  </si>
  <si>
    <t>-4° to 140° F (-20° to 60° C)</t>
  </si>
  <si>
    <t>41° to 95° F (5° to 35° C) (writing optical)</t>
  </si>
  <si>
    <t>Relative Humidity</t>
  </si>
  <si>
    <t>10% to 90% (non-condensing)</t>
  </si>
  <si>
    <t>10% to 90%, non-condensing</t>
  </si>
  <si>
    <t>5% to 95%
(38.7° C (101.6° F) maximum wet bulb tempera-ture; non-condensing)</t>
  </si>
  <si>
    <t>5% to 95%, 101.6° F (38.7° C) maximum wet bulb temperature</t>
  </si>
  <si>
    <t>Shock</t>
  </si>
  <si>
    <t>40 G, 2 ms, half-sine</t>
  </si>
  <si>
    <t>240 G, 2 ms, half-sine</t>
  </si>
  <si>
    <t>200 G, 2 ms, half-sine</t>
  </si>
  <si>
    <t>Random Vibration</t>
  </si>
  <si>
    <t>1.043 grms</t>
  </si>
  <si>
    <t>0.75 grms</t>
  </si>
  <si>
    <t>3.5 grms</t>
  </si>
  <si>
    <t>1.50 grms</t>
  </si>
  <si>
    <t>Altitude (unpressurized)</t>
  </si>
  <si>
    <t>10,000 ft (3,048 m)</t>
  </si>
  <si>
    <t>-50 to 10,000 ft (-15.24 to 3,048 m)</t>
  </si>
  <si>
    <t>40,000 ft (12,192 m)</t>
  </si>
  <si>
    <t>-50 to 40,000 ft (-15.24 to 12,192 m)</t>
  </si>
  <si>
    <t>Planned Industry Standard Certifications</t>
  </si>
  <si>
    <t>Regulatory Model Number</t>
  </si>
  <si>
    <t>HSN-I49C-6</t>
  </si>
  <si>
    <t>HSN: C11C</t>
  </si>
  <si>
    <t>CSA/UL 62368-1</t>
  </si>
  <si>
    <t>ENERGY STAR®</t>
  </si>
  <si>
    <t>EPEAT</t>
  </si>
  <si>
    <t>EPEAT Gold in United States</t>
  </si>
  <si>
    <t xml:space="preserve">FCC/ICES/CISPR/VCCI </t>
  </si>
  <si>
    <t xml:space="preserve">Yes </t>
  </si>
  <si>
    <t>CE MARKING</t>
  </si>
  <si>
    <t>Yes, Related commodity should comply with ISO 9241 Standards.</t>
  </si>
  <si>
    <t>China CCC/SRRC</t>
  </si>
  <si>
    <t>Taiwan BSMI/NCC</t>
  </si>
  <si>
    <t>Korea KCC/KC/KES</t>
  </si>
  <si>
    <t>Ukraine NSoC/TEC</t>
  </si>
  <si>
    <t>EAEU Compliance</t>
  </si>
  <si>
    <t>Saudi Arabian Compliance</t>
  </si>
  <si>
    <t>TCO</t>
  </si>
  <si>
    <t>WW RoHS</t>
  </si>
  <si>
    <t>Low Blue Light</t>
  </si>
  <si>
    <t>Configurations of the HP ProBook 430 G4 that are ENERGY STAR® qualified are identified as HP ProBook 430 G4 ENERGY STAR on HP websites and on http://www.energystar.gov.</t>
  </si>
  <si>
    <t>Based on US EPEAT® registration according to IEEE 1680.1-2018 EPEAT®. EPEAT® status varies by country. Visit www.epeat.net for more information.</t>
  </si>
  <si>
    <t>Displays</t>
  </si>
  <si>
    <t>16.0 in 2.8K (2880 x 1800) BrightView UWVA OLED+LBL DCI-P3 NBZ2 400 eDP 1.4+PSR 100 48H-120Hz (VRR) bent OLED Panel</t>
  </si>
  <si>
    <t>17.3" diagonal FHD UWVA anti-glare flat LED backlit (1920 x 1080)</t>
  </si>
  <si>
    <t>Outline Dimensions (W x H x D)</t>
  </si>
  <si>
    <t>348.078 x 224.19 (max)</t>
  </si>
  <si>
    <r>
      <t>314.61</t>
    </r>
    <r>
      <rPr>
        <sz val="11"/>
        <color rgb="FFFF0000"/>
        <rFont val="Cambria"/>
        <family val="1"/>
      </rPr>
      <t>0</t>
    </r>
    <r>
      <rPr>
        <sz val="11"/>
        <color theme="1"/>
        <rFont val="Cambria"/>
        <family val="1"/>
      </rPr>
      <t xml:space="preserve"> x 185.39</t>
    </r>
    <r>
      <rPr>
        <sz val="11"/>
        <color rgb="FFFF0000"/>
        <rFont val="Cambria"/>
        <family val="1"/>
      </rPr>
      <t>0</t>
    </r>
    <r>
      <rPr>
        <sz val="11"/>
        <color theme="1"/>
        <rFont val="Cambria"/>
        <family val="1"/>
      </rPr>
      <t xml:space="preserve"> (max)</t>
    </r>
  </si>
  <si>
    <r>
      <t xml:space="preserve">[in. (mm)], choose max; </t>
    </r>
    <r>
      <rPr>
        <sz val="11"/>
        <color rgb="FFFF0000"/>
        <rFont val="Calibri Regular"/>
        <charset val="1"/>
      </rPr>
      <t>3 decimal places</t>
    </r>
  </si>
  <si>
    <t>Active Area</t>
  </si>
  <si>
    <t>344.448 x 215.280 (typ)</t>
  </si>
  <si>
    <t>309.312 x 173.988 mm (typ.)</t>
  </si>
  <si>
    <t>[in. (mm)], Unit (min/typ/max) has to be defined; 3 decimal places</t>
  </si>
  <si>
    <t>Weight</t>
  </si>
  <si>
    <t>220 (max)</t>
  </si>
  <si>
    <t>322 g (max)</t>
  </si>
  <si>
    <t>[g], max value</t>
  </si>
  <si>
    <t>Diagonal Size</t>
  </si>
  <si>
    <t>17.3 (inch)</t>
  </si>
  <si>
    <r>
      <t xml:space="preserve">[in. ]; </t>
    </r>
    <r>
      <rPr>
        <sz val="11"/>
        <color rgb="FFFF0000"/>
        <rFont val="Calibri Regular"/>
        <charset val="1"/>
      </rPr>
      <t>1 decimal place</t>
    </r>
  </si>
  <si>
    <t>Thickness</t>
  </si>
  <si>
    <t>1.070 / 3.052 (max)</t>
  </si>
  <si>
    <r>
      <t xml:space="preserve">2.0 mm / </t>
    </r>
    <r>
      <rPr>
        <sz val="11"/>
        <color rgb="FFFF0000"/>
        <rFont val="Cambria"/>
        <family val="1"/>
      </rPr>
      <t xml:space="preserve">3.8 mm (w/PCB) </t>
    </r>
    <r>
      <rPr>
        <sz val="11"/>
        <color theme="1"/>
        <rFont val="Cambria"/>
        <family val="1"/>
      </rPr>
      <t>(max)</t>
    </r>
  </si>
  <si>
    <r>
      <t xml:space="preserve">[in. (mm)], max value; keep both w/ &amp; w/o PCB, especially "flat type" panel </t>
    </r>
    <r>
      <rPr>
        <sz val="11"/>
        <color rgb="FFFF0000"/>
        <rFont val="Calibri Regular"/>
        <charset val="1"/>
      </rPr>
      <t>Normal panel - 1 decimal
OLED - 3 decimal</t>
    </r>
  </si>
  <si>
    <t>Interface</t>
  </si>
  <si>
    <t>eDP1.4</t>
  </si>
  <si>
    <r>
      <t xml:space="preserve">eDP 1.4 </t>
    </r>
    <r>
      <rPr>
        <sz val="11"/>
        <color rgb="FFFF0000"/>
        <rFont val="Cambria"/>
        <family val="1"/>
      </rPr>
      <t>(4 lane)</t>
    </r>
  </si>
  <si>
    <t>eDP 1.x PSR (x lane) Always disclose the number of lanes</t>
  </si>
  <si>
    <t>Surface Treatment</t>
  </si>
  <si>
    <t>Bright View</t>
  </si>
  <si>
    <t>Anti-Glare or Bright View</t>
  </si>
  <si>
    <t>Touch Enabled</t>
  </si>
  <si>
    <t>No</t>
  </si>
  <si>
    <t>Yes or No</t>
  </si>
  <si>
    <t>Yes or No or Optional</t>
  </si>
  <si>
    <t>Contrast Ratio</t>
  </si>
  <si>
    <t>100,000:1 (typ)</t>
  </si>
  <si>
    <t>600:1 (typical)</t>
  </si>
  <si>
    <t>N:1 (typ)</t>
  </si>
  <si>
    <t>Refresh Rate</t>
  </si>
  <si>
    <t>120 (typ)</t>
  </si>
  <si>
    <t>60Hz</t>
  </si>
  <si>
    <t>[Hz], normally 60; typical</t>
  </si>
  <si>
    <t>Brightness</t>
  </si>
  <si>
    <t>400 (typ)</t>
  </si>
  <si>
    <t>300 nits (typ.)</t>
  </si>
  <si>
    <t>N nits (typ.)</t>
  </si>
  <si>
    <t>Pixel Resolution - Format</t>
  </si>
  <si>
    <t>2880 x 1800 (WQUXGA)</t>
  </si>
  <si>
    <t>1920 x 1080 (FHD)</t>
  </si>
  <si>
    <r>
      <t>ex: 1280 x 768 (HD) / 1920 x 1080 (FHD) / (QHD) / 3200 x 1800 (QHD+) / (UHD)</t>
    </r>
    <r>
      <rPr>
        <sz val="11"/>
        <color rgb="FFFF0000"/>
        <rFont val="Calibri Regular"/>
        <charset val="1"/>
      </rPr>
      <t xml:space="preserve">
Following root naming</t>
    </r>
    <r>
      <rPr>
        <sz val="11"/>
        <color theme="1"/>
        <rFont val="Calibri Regular"/>
        <charset val="1"/>
      </rPr>
      <t xml:space="preserve"> </t>
    </r>
  </si>
  <si>
    <t>Backlight</t>
  </si>
  <si>
    <t>RGB</t>
  </si>
  <si>
    <t xml:space="preserve">4 options:
WLED /OLED/ Mini LED/ Micro LED </t>
  </si>
  <si>
    <t xml:space="preserve">Pixel Resolution </t>
  </si>
  <si>
    <t>OLED</t>
  </si>
  <si>
    <t>RGB or RGBW</t>
  </si>
  <si>
    <t>RGB / RGBW</t>
  </si>
  <si>
    <t>Color Gamut Coverage</t>
  </si>
  <si>
    <t>DCI-P3 100%</t>
  </si>
  <si>
    <t>sRGB 100% (NTSC 72%)</t>
  </si>
  <si>
    <r>
      <t>CG standard+% (also applied other CG standard+%)</t>
    </r>
    <r>
      <rPr>
        <sz val="11"/>
        <color rgb="FFFF0000"/>
        <rFont val="Calibri Regular"/>
        <charset val="1"/>
      </rPr>
      <t xml:space="preserve">
Following root naming</t>
    </r>
    <r>
      <rPr>
        <sz val="11"/>
        <color theme="1"/>
        <rFont val="Calibri Regular"/>
        <charset val="1"/>
      </rPr>
      <t xml:space="preserve">   </t>
    </r>
    <r>
      <rPr>
        <b/>
        <sz val="11"/>
        <color theme="1"/>
        <rFont val="Calibri Regular"/>
        <charset val="1"/>
      </rPr>
      <t>Mainly it follows root naming and selects the best one.
During panel naming transition, it will reflect if it also applied other CG standard+%)</t>
    </r>
  </si>
  <si>
    <t>Color Depth</t>
  </si>
  <si>
    <t>8 bits + 2FRC</t>
  </si>
  <si>
    <r>
      <t>[bits/color]</t>
    </r>
    <r>
      <rPr>
        <sz val="11"/>
        <color rgb="FFFF0000"/>
        <rFont val="Calibri Regular"/>
        <charset val="1"/>
      </rPr>
      <t xml:space="preserve">
6 Options:
6
6 (Hi FRC w/ condition to enable)
6+2 FRC
8
8 (Hi FRC w/ condition to enable)
8+2 FRC</t>
    </r>
  </si>
  <si>
    <t>Viewing Angle</t>
  </si>
  <si>
    <t>UWVA 89/89/89/89</t>
  </si>
  <si>
    <t>UWVA 85/85/85/85</t>
  </si>
  <si>
    <r>
      <t>SVA/WVA/UWVA, Left/Right/</t>
    </r>
    <r>
      <rPr>
        <sz val="11"/>
        <color rgb="FFFF0000"/>
        <rFont val="Calibri Regular"/>
        <charset val="1"/>
      </rPr>
      <t>Up/Down</t>
    </r>
    <r>
      <rPr>
        <sz val="11"/>
        <color theme="1"/>
        <rFont val="Calibri Regular"/>
        <charset val="1"/>
      </rPr>
      <t xml:space="preserve"> degrees, typical</t>
    </r>
  </si>
  <si>
    <t>NEW - Low Blue Light</t>
  </si>
  <si>
    <t>NEW - Power Consumption (W, EBL@ 150nits max/ 200nits max)</t>
  </si>
  <si>
    <t>N/A (max)/ 7.5 (max)</t>
  </si>
  <si>
    <t>1.5 (max)/ 2.4 (max)</t>
  </si>
  <si>
    <t>Condition under EBL@150nits/200nits/max brightness; 2 decimal places</t>
  </si>
  <si>
    <t>16.0 in WUXGA (1920 x 1200) Anti-Glare UWVA WLED+LBL sRGB NB2Y 1000 eDP 1.3+PSR 100 PrivacyG4 Plus bent LCD Panel</t>
  </si>
  <si>
    <t>349.980 x 225.420 (max)</t>
  </si>
  <si>
    <t>344.680 x 215.420 (typ)</t>
  </si>
  <si>
    <t>310 (max)</t>
  </si>
  <si>
    <t>2.2 / 3.9 (max)</t>
  </si>
  <si>
    <t>eDP 1.3</t>
  </si>
  <si>
    <t>Anti-Glare</t>
  </si>
  <si>
    <t>1500:1 (typ)</t>
  </si>
  <si>
    <t>60 (typ)</t>
  </si>
  <si>
    <t>1000 (typ)</t>
  </si>
  <si>
    <t>1920 x1200 (WUXGA)</t>
  </si>
  <si>
    <t>WLED</t>
  </si>
  <si>
    <t>sRGB 100%</t>
  </si>
  <si>
    <t> Yes</t>
  </si>
  <si>
    <t>16.0 in WUXGA (1920 x 1200) Anti-Glare UWVA WLED+LBL sRGB NB2Y 400 eDP 1.4+PSR2 Low-Power 100 bent LCD Panel</t>
  </si>
  <si>
    <t>350.680 x 226.470 (max)</t>
  </si>
  <si>
    <t>344.678 x 215.424 (typ)</t>
  </si>
  <si>
    <t>330 (max)</t>
  </si>
  <si>
    <t>2.6 / 4.6 (max)</t>
  </si>
  <si>
    <t>1000:1 (typ)</t>
  </si>
  <si>
    <t>1920 x 1200 (WUXGA)</t>
  </si>
  <si>
    <t>sRGB 100% </t>
  </si>
  <si>
    <t>UWVA 89/89/89/89 </t>
  </si>
  <si>
    <t>1.60 (max)/ 1.95 (max)</t>
  </si>
  <si>
    <t>16.0 in WUXGA (1920 x 1200) Anti-Glare UWVA LED NTSC NB2X 250 eDP 1.2 w/o PSR 45 bent LCD Panel</t>
  </si>
  <si>
    <t>350.380 x 226.170 (max)</t>
  </si>
  <si>
    <t>390 (max)</t>
  </si>
  <si>
    <t>3.0 / 5.0 (max)</t>
  </si>
  <si>
    <t>eDP 1.2</t>
  </si>
  <si>
    <t>1000:1(typ)</t>
  </si>
  <si>
    <t>250 (typ)</t>
  </si>
  <si>
    <t>1920 x 1280 (WUXGA)</t>
  </si>
  <si>
    <t xml:space="preserve">NTSC 45% </t>
  </si>
  <si>
    <t>2.70 (max) / 2.40 (max)</t>
  </si>
  <si>
    <t>16.0 in WUXGA (1920 x 1200) Anti-Glare UWVA LED NTSC NB2X 250 TOP eDP 1.2 w/o PSR 45 bent LCD Panel</t>
  </si>
  <si>
    <t>400 (max)</t>
  </si>
  <si>
    <t>2.70 (max) / 3.40 (max)</t>
  </si>
  <si>
    <t>Storage</t>
  </si>
  <si>
    <t>SSD 512GB 2280 PCIe-4x4 NVMe Three Layer Cell</t>
  </si>
  <si>
    <t>256 GB SATA-3 NVMe Value Solid State Drive</t>
  </si>
  <si>
    <t>Form Factor</t>
  </si>
  <si>
    <t xml:space="preserve">M.2 2280 </t>
  </si>
  <si>
    <t>M.2 2280</t>
  </si>
  <si>
    <t>Capacity</t>
  </si>
  <si>
    <t>512GB</t>
  </si>
  <si>
    <t>256 GB</t>
  </si>
  <si>
    <t>NAND Type</t>
  </si>
  <si>
    <t>TLC</t>
  </si>
  <si>
    <t>MLC</t>
  </si>
  <si>
    <t>Height</t>
  </si>
  <si>
    <t>0.09 in (2.3 mm)</t>
  </si>
  <si>
    <t>Width</t>
  </si>
  <si>
    <t>0.87 in (22 mm)</t>
  </si>
  <si>
    <t>0.02 lb (10 g)</t>
  </si>
  <si>
    <t>0.01 lb (6 g) ~ 0.02 lb (10 g)</t>
  </si>
  <si>
    <t>PCIe NVMe Gen4X4</t>
  </si>
  <si>
    <t>ATA-8, SATA 3.0</t>
  </si>
  <si>
    <t>Maximum Sequential Read</t>
  </si>
  <si>
    <t>6400 MB/s ±20%</t>
  </si>
  <si>
    <t>Up To 53 MB/s</t>
  </si>
  <si>
    <t>Maximum Sequential Write</t>
  </si>
  <si>
    <t>3500 MB/s ±20%</t>
  </si>
  <si>
    <t>Up To 540  MB/s</t>
  </si>
  <si>
    <t>Logical Blocks</t>
  </si>
  <si>
    <t>Operating Temperature</t>
  </si>
  <si>
    <t>32° to 158°F (0° to 70°C) [ambient temp]</t>
  </si>
  <si>
    <t>Pyrite 2.0; TRIM; L1.2</t>
  </si>
  <si>
    <t>DIPM; TRIM; DEVSLP</t>
  </si>
  <si>
    <t>SSD 1TB 2280 PCIe-4x4 NVMe Three Layer Cell</t>
  </si>
  <si>
    <t>512GB 2280 M2 SATA-3 NVMe TLC Solid State Drive</t>
  </si>
  <si>
    <t>1TB</t>
  </si>
  <si>
    <t>5000 MB/s ±20%</t>
  </si>
  <si>
    <t>SSD 2TB 2280 PCIe-4x4 NVMe Three Layer Cell</t>
  </si>
  <si>
    <t>128GB 2280 M2 SATA-3 TLC Solid State Drive</t>
  </si>
  <si>
    <t>2TB</t>
  </si>
  <si>
    <t>127 GB</t>
  </si>
  <si>
    <t>Up To 535 MB/s</t>
  </si>
  <si>
    <t>Up To 515  MB/s</t>
  </si>
  <si>
    <t>256GB PCIe 2280 NVMe Self Encrypted OPAL2 Value Solid State Drive</t>
  </si>
  <si>
    <t>256GB</t>
  </si>
  <si>
    <t>2000 MB/s ±20%</t>
  </si>
  <si>
    <t>900 MB/s ±20%</t>
  </si>
  <si>
    <t>TCG Opal 2.0; TRIM; L1.2</t>
  </si>
  <si>
    <t>512GB PCIe-4x4 2280 NVME Self Encrypted OPAL2 Three Layer Cell Solid State Drive</t>
  </si>
  <si>
    <t>1TB PCIe-4x4 2280 NVME Self Encrypted OPAL2 Three Layer Cell Solid State Drive</t>
  </si>
  <si>
    <t>SSD 256GB 2280 PCIe NVMe Value</t>
  </si>
  <si>
    <t>SSD 512GB 2280 PCIe NVMe Value</t>
  </si>
  <si>
    <t>512 GB</t>
  </si>
  <si>
    <t>2200 MB/s ±20%</t>
  </si>
  <si>
    <t>1000 MB/s ±20%</t>
  </si>
  <si>
    <t>Networking</t>
  </si>
  <si>
    <t>Realtek RTL8852CE 802.11ax 2x2 Wi-Fi 6E + BT5.3 (802.11ax 2x2, supporting gigabit data rate)[1]</t>
  </si>
  <si>
    <t>Realtek RTL8852CE 802.11ax 2x2 Wi-Fi 6E+ BT5.3 (802.11ax 2x2, supporting gigabit data rate)</t>
  </si>
  <si>
    <t>WLAN1</t>
  </si>
  <si>
    <t>Wi-Fi 6E requires a Wi-Fi 6E router, sold separately, to function in the 6GHz band. Availability of public wireless access points limited. Wi-Fi 6E is backwards compatible with prior 802.11 specs. And available in countries where Wi-Fi 6E is supported. Wi-Fi 6E is designed to support gigabit data rate when transferring files between two devices connected to the same router. Requires a wireless router, sold separately, that supports 80MHz and higher channels.</t>
  </si>
  <si>
    <t>Wireless LAN Standards</t>
  </si>
  <si>
    <t>IEEE 802.11a
IEEE 802.11b
IEEE 802.11g
IEEE 802.11n
IEEE 802.11ac
IEEE 802.11ax
IEEE 802.11d
IEEE 802.11e
IEEE 802.11h
IEEE 802.11i
IEEE 802.11k</t>
  </si>
  <si>
    <t>Interoperability</t>
  </si>
  <si>
    <t>Wi-Fi certified</t>
  </si>
  <si>
    <t>Wi-Fi certified modules</t>
  </si>
  <si>
    <t>Frequency Band</t>
  </si>
  <si>
    <t>802.11b/g/n/ax
• 2.402 – 2.482 GHz
802.11a/n/ac/ax
• 5.15 – 5.25 GHz
• 5.25 – 5.35 GHz
• 5.47 – 5.725 GHz
• 5.825 – 5.850 GHz</t>
  </si>
  <si>
    <t xml:space="preserve">Data Rates </t>
  </si>
  <si>
    <t>• 802.11b: 1, 2, 5.5, 11 Mbps
• 802.11g: 6, 9, 12, 18, 24, 36, 48, 54 Mbps
• 802.11a: 6, 9, 12, 18, 24, 36, 48, 54 Mbps
• 802.11n: MCS 0 ~ MCS 15, (20MHz, and 40MHz)
• 802.11ac : MCS0 ~ MCS9,  (20MHz, 40MHz, ,80MHz &amp; 160MHz)
• 802.11ax : MCS0 ~ MCS11, (20MHz, 40MHz, ,80MHz &amp; 160MHz)</t>
  </si>
  <si>
    <t>Modulation</t>
  </si>
  <si>
    <t>Direct Sequence Spread Spectrum
OFDM, BPSK, QPSK, CCK, 16-QAM, 64-QAM, 256-QAM, 1024QAM</t>
  </si>
  <si>
    <t>Direct Sequence Spread Spectrum
BPSK, QPSK, CCK, 16-QAM, 64-QAM, 256-QAM, 1024QAM</t>
  </si>
  <si>
    <t>Security[2]</t>
  </si>
  <si>
    <t>• IEEE and WiFi certified 64 / 128 bit WEP encryption for a/b/g mode only
• AES-CCMP: 128 bit in hardware
• 802.1x authentication
• WPA, WPA2:  802.1x. WPA-PSK, WPA2-PSK, TKIP, and AES.
• WPA2 certification
• WPA3 (personal) certification
• IEEE 802.11i
• WAPI
• EAP</t>
  </si>
  <si>
    <t>• IEEE and WiFi certified 64 / 128 bit WEP encryption for a/b/g mode only
• AES-CCMP: 128 bit in hardware
• 802.1x authentication
• WPA, WPA2:  802.1x. WPA-PSK, WPA2-PSK, TKIP, and AES.
• WPA2 certification
• WPA3 certification
• IEEE 802.11i
• WAPI
• EAP</t>
  </si>
  <si>
    <t>Network Architecture Models</t>
  </si>
  <si>
    <t>Ad-hoc (Peer to Peer)
Infrastructure (Access Point Required)</t>
  </si>
  <si>
    <t xml:space="preserve">Roaming </t>
  </si>
  <si>
    <t>IEEE 802.11 compliant roaming between access points</t>
  </si>
  <si>
    <t>Output Power[3]</t>
  </si>
  <si>
    <t>• 802.11b : +17dBm minimum
• 802.11g : +16dBm minimum
• 802.11a : +17dBm minimum
• 802.11n HT20(2.4GHz) : +14dBm minimum
• 802.11n HT40(2.4GHz) : +13dBm minimum
• 802.11n HT20(5GHz) : +14dBm minimum
• 802.11n HT40(5GHz) : +13dBm minimum
• 802.11ac VHT80(5GHz) : +10dBm minimum
• 802.11ac VHT160(5GHz) : +10dBm minimum
• 802.11ax HE40(2.4GHz) : +12dBm minimum
• 802.11ax HE80(5GHz) : +10dBm minimum
• 802.11ax HE160(5GHz) : +10dBm minimum
• 802.11ax HE80(6GHz) : +10dBm minimum
• 802.11ax HE160(6GHz) : +10dBm minimum</t>
  </si>
  <si>
    <t>Power Consumption</t>
  </si>
  <si>
    <t>• Transmit mode :2.5 W
• Receive mode :2 W
• Idle mode (PSP) 180 mW (WLAN Associated)
• Idle mode :50 mW (WLAN unassociated)
• Connected Standby/Modern Standby: 10mW
• Radio disabled: 8 mW</t>
  </si>
  <si>
    <t>Power Management</t>
  </si>
  <si>
    <t>ACPI and PCI Express compliant power management
802.11 compliant power saving mode</t>
  </si>
  <si>
    <t>Receiver Sensitivity[4]</t>
  </si>
  <si>
    <t>802.11b, 1Mbps : -93.5dBm maximum
802.11b, 11Mbps : -84dBm maximum
802.11a/g, 6Mbps : -86dBm maximum
802.11a/g, 54Mbps : -72dBm maximum
802.11n, MCS07 : -67dBm maximum
802.11n, MCS15 : -64dBm maximum
802.11ac, MCS0(VHT80) : -84dBm maximum
802.11ac, MCS9(VHT80) : -59dBm maximum
802.11ac, MCS9(VHT160) : -58.5dBm maximum
•802.11ax, MCS11(HE40): -57dBm maximum
•802.11ax, MCS11(HE80): -54dBm maximum
•802.11ax, MCS11(HE160): -53.5dBm maximum</t>
  </si>
  <si>
    <t>Antenna type</t>
  </si>
  <si>
    <t>High efficiency antenna with spatial diversity, mounted in the display enclosure
Two embedded dual band 2.4/5/6 GHz antennas are provided to the card to support WLAN MIMO communications and Bluetooth communications</t>
  </si>
  <si>
    <t>High efficiency antenna with spatial diversity, mounted in the display enclosure
Two embedded dual band 2.4/5 GHz antennas are provided to the card to support WLAN MIMO communications and Bluetooth communications</t>
  </si>
  <si>
    <t>PCI-Express M.2 MiniCard</t>
  </si>
  <si>
    <t>Dimensions</t>
  </si>
  <si>
    <t>1. Type 2230 : 2.3 x 22.0 x 30.0 mm
2. Type 1216: 1.67 x 12.0 x 16.0 mm</t>
  </si>
  <si>
    <t>1. Type 2230 : 2.8g
2. Type 126: 1.3g</t>
  </si>
  <si>
    <t>Operating Voltage</t>
  </si>
  <si>
    <t>3.3v +/- 9%</t>
  </si>
  <si>
    <t>Operating: 14° to 158° F (–10° to 70° C)
Non-operating: –40° to 176° F (–40° to 80° C)</t>
  </si>
  <si>
    <t>Humidity</t>
  </si>
  <si>
    <t>Operating: 10% to 60% (non-condensing)
Non-operating: 5% to 95% (non-condensing)</t>
  </si>
  <si>
    <t>Operating: 10% to 90% (non-condensing)
Non-operating: 5% to 95% (non-condensing)</t>
  </si>
  <si>
    <t>Altitude</t>
  </si>
  <si>
    <t>Operating: 0 to 10,000 ft (3,048 m)
Non-operating: 0 to 50,000 ft (15,240 m)</t>
  </si>
  <si>
    <t>LED Activity</t>
  </si>
  <si>
    <t>LED Amber  – Radio OFF; LED OFF – Radio ON</t>
  </si>
  <si>
    <t>HP Integrated Module with Bluetooth 4.0/4.1/4.2/5.0/5.1/5.2/5.3 Wireless Technology</t>
  </si>
  <si>
    <t>Bluetooth Specification</t>
  </si>
  <si>
    <t>4.0/4.1/4.2/5.0/5.1/5.2/5.3 Compliant</t>
  </si>
  <si>
    <t>2402 to 2480 MHz</t>
  </si>
  <si>
    <t>Number of Available Channels</t>
  </si>
  <si>
    <t>Legacy : 0~79 (1 MHz/CH)
BLE : 0~39 (2 MHz/CH)</t>
  </si>
  <si>
    <t>Data Rates and Throughput</t>
  </si>
  <si>
    <t>Legacy : 3 Mbps data rate; throughput up to 2.17 Mbps
BLE : 1 Mbps data rate; throughput up to 0.2 Mbps
Legacy : Synchronous Connection Oriented links up to 3, 64 kbps, voice channels
Legacy : Asynchronous Connection Less links 2178.1 kbps/177.1 kbps asymmetric (3-DH5) or 864 kbps symmetric (3-EV5)</t>
  </si>
  <si>
    <t>Transmit Power</t>
  </si>
  <si>
    <t>The Bluetooth component shall operate as a Class II Bluetooth device with a maximum transmit power of + 4 dBm for BR and EDR.</t>
  </si>
  <si>
    <t>Peak (Tx): 330 mW
Peak (Rx): 230 mW
Selective Suspend: 17 mW</t>
  </si>
  <si>
    <t>Bluetooth Software Supported
Link Topology</t>
  </si>
  <si>
    <t>Microsoft Windows Bluetooth Software</t>
  </si>
  <si>
    <t>Microsoft Windows ACPI, and USB Bus Support</t>
  </si>
  <si>
    <t>Certifications</t>
  </si>
  <si>
    <t>FCC (47 CFR) Part 15C, Section 15.247 &amp; 15.407</t>
  </si>
  <si>
    <t>FCC (47 CFR) Part 15C, Section 15.247 &amp; 15.249</t>
  </si>
  <si>
    <t>Power Management
Certifications</t>
  </si>
  <si>
    <t>ETS 300 328
Low Voltage Directive
CE Mark</t>
  </si>
  <si>
    <t>ETS 300 328, ETS 300 826
Low Voltage Directive IEC950
UL, CSA, and CE Mark</t>
  </si>
  <si>
    <t>Bluetooth Profiles Supported</t>
  </si>
  <si>
    <t>BT4.1-ESR 5/6/7 Compliance
LE Link Layer Ping
LE Dual Mode
LE Link Layer
LE Low Duty Cycle Directed Advertising
LE L2CAP Connection Oriented Channels 
Train Nudging &amp; Interlaced Scan
BT4.2 ESR08 Compliance
LE Secure Connection- Basic/Full
LE Privacy 1.2 –Link Layer Privacy
LE Privacy 1.2 –Extended Scanner Filter Policies
LE Data Packet Length Extension
FAX Profile (FAX)
Basic Imaging Profile (BIP)2
Headset Profile (HSP)
Hands Free Profile (HFP)
Advanced Audio Distribution Profile (A2DP)
BT5.2
ESR9/10 Compliance
LE Advertisement Extensions
Channel Selection Algo
Limited High Duty Cycle Non-Connectable Advertising
2Mbps LE
LE Long Range
Windows BT profiles support
BT5.3
Periodic Advertisement interval
Encryption key size control enhancements</t>
  </si>
  <si>
    <t>BT4.1-ESR 5/6/7 Compliance
LE Link Layer Ping
LE Dual Mode
LE Link Layer
LE Low Duty Cycle Directed Advertising
LE L2CAP Connection Oriented Channels 
Train Nudging &amp; Interlaced Scan
BT4.2 ESR08 Compliance
LE Secure Connection- Basic/Full
LE Privacy 1.2 –Link Layer Privacy
LE Privacy 1.2 –Extended Scanner Filter Policies
LE Data Packet Length Extension
FAX Profile (FAX)
Basic Imaging Profile (BIP)2
Headset Profile (HSP)
Hands Free Profile (HFP)
Advanced Audio Distribution Profile (A2DP)
BT5.2
ESR9/10 Compliance
LE Advertisement Extensions
Channel Selection Algo
Limited High Duty Cycle Non-Connectable Advertising
2Mbps LE
LE Long Range
Windows BT profiles support</t>
  </si>
  <si>
    <t>[1]Wi-Fi 6E requires a Wi-Fi 6E router, sold separately, to function in the 6GHz band. Availability of public wireless access points limited. Wi-Fi 6E is backwards compatible with prior 802.11 specs. And available in countries where Wi-Fi 6E is supported. Wi-Fi 6E is designed to support gigabit data rate when transferring files between two devices connected to the same router. Requires a wireless router, sold separately, that supports 80MHz and higher channels.</t>
  </si>
  <si>
    <t>[1] Mobile Broadband is an optional feature. Connection requires wireless data service contract, network support, and is not available in all areas. Contact service provider to determine the coverage area and availability. Connection speeds will vary due to location, environment, network conditions, and other factors. 4G LTE not available on all products or in all countries.</t>
  </si>
  <si>
    <t>[2] Check latest software/driver release for updates on supported security features.</t>
  </si>
  <si>
    <t>[3] The FCC has declared as of September 1, 2014 products that utilize passive scanning on channel 12/13 and are capable of transmitting must fully comply with requirements of 15.247 or otherwise disable those channels.</t>
  </si>
  <si>
    <t>[4]  Receiver sensitivity is measured at a packet error rate of 8% for 802.11b (CKK modulation) and a packet error rate of 10% for 802.11a/g (OFDM modulation).</t>
  </si>
  <si>
    <t>Mediatek RZ616 Wi-Fi 6E + BT5.3 (802.11ax 2x2, supporting gigabit data rate)[1]</t>
  </si>
  <si>
    <t>Mediatek RZ616 Wi-Fi 6E + BT5.3 (802.11ax 2x2, supporting gigabit data rate)</t>
  </si>
  <si>
    <t>WLAN2</t>
  </si>
  <si>
    <t>IEEE 802.11a
IEEE 802.11b
IEEE 802.11g
IEEE 802.11n
IEEE 802.11ac
IEEE 802.11ax
IEEE 802.11d
IEEE 802.11e
IEEE 802.11h
IEEE 802.11i
IEEE 802.11j
IEEE 802.11k
IEEE 802.11mc
IEEE 802.11r
IEEE 802.11v
IEEE 802.11w</t>
  </si>
  <si>
    <t>IEEE 802.11a
IEEE 802.11b
IEEE 802.11g
IEEE 802.11n
IEEE 802.11ac
IEEE 802.11ax
IEEE 802.11d
IEEE 802.11e
IEEE 802.11h
IEEE 802.11i
IEEE 802.11k
IEEE 802.11r
IEEE 802.11v</t>
  </si>
  <si>
    <t>802.11b/g/n/ax
• 2.402 – 2.482 GHz
802.11a/n/ac/ax
• 5.15 – 5.25 GHz
• 5.25 – 5.35 GHz
• 5.47 – 5.725 GHz
• 5.825 – 5.850 GHz
• 5.925 – 7.125 GHz</t>
  </si>
  <si>
    <t>802.11b/g/n/ax
• 2.402 – 2.482 GHz
802.11a/n/ac/ax
• 4.9 – 4.95 GHz (Japan)
• 5.15 – 5.25 GHz
• 5.25 – 5.35 GHz
• 5.47 – 5.725 GHz
• 5.825 – 5.850 GHz</t>
  </si>
  <si>
    <t>• 802.11b: 1, 2, 5.5, 11 Mbps
• 802.11g: 6, 9, 12, 18, 24, 36, 48, 54 Mbps
• 802.11a: 6, 9, 12, 18, 24, 36, 48, 54 Mbps
• 802.11n: max 300Mbps
• 802.11ac : max 866.7Mbps
• 802.11ax : max 1201Mbps</t>
  </si>
  <si>
    <t>• IEEE and WiFi certified 64 / 128 bit WEP encryption for a/b/g mode only
• AES-CCMP: 128 bit in hardware
• 802.1x authentication
• WPA, WPA2:  802.1x. WPA-PSK, WPA2-PSK, TKIP, and AES.
• WPA2 certification
• WPA3 (personal) certification
• IEEE 802.11i
• WAPI</t>
  </si>
  <si>
    <t>• IEEE and WiFi certified 64 / 128 bit WEP encryption for a/b/g mode only
• AES-CCMP: 128 bit in hardware
• 802.1x authentication
• WPA, WPA2:  802.1x. WPA-PSK, WPA2-PSK, TKIP, and AES.
• WPA2 certification
• WPA3 certification
• IEEE 802.11i
• WAPI</t>
  </si>
  <si>
    <t xml:space="preserve">2.4GHz (MIMO, typical):
• 802.11b : +18dBm
• 802.11g : +16.5dBm
• 802.11n/ac/ax (HT20/VHT20/HE20) : +16dBm
• 802.11n/ac/ax (HT40/VHT40/HE40) : +12.5dBm
5GHz (MIMO, typical):
• 802.11a : +13dBm
• 802.11n/ac/ax (HT20/VHT20/HE20) : +13.5dBm
• 802.11n/ac/ax (HT40/VHT40/HE40) : +12.5dBm
• 802.11ac/ax (VHT80/HE80) : +11.5dBm
• 802.11ax HE160 : +11.5dBm
6GHz LPI mode (MIMO, typical):
• 802.11a : 0dBm
• 802.11ax HE20 : +1dBm
• 802.11ax HE40 : +4dBm
• 802.11ax HE80 : +7dBm
• 802.11ax HE160 : +7.5dBm </t>
  </si>
  <si>
    <t>• 802.11b : +18.5dBm minimum
• 802.11g : +17.5dBm minimum
• 802.11a : +18.5dBm minimum
• 802.11n HT20(2.4GHz) : +15.5dBm minimum
• 802.11n HT40(2.4GHz) : +14.5dBm minimum
• 802.11n HT20(5GHz) : +15.5dBm minimum
• 802.11n HT40(5GHz) : +14.5dBm minimum
• 802.11ac VHT80(5GHz) : +11.5dBm minimum
• 802.11ax HE40(2.4GHz) : +10dBm minimum
• 802.11ax HE80(5GHz) : +10dBm minimum</t>
  </si>
  <si>
    <t>2.4GHz (SISO):
•802.11b, 11Mbps : -82dBm maximum
• 802.11g, 54Mbps : -71dBm maximum
• 802.11n, MCS7 : -64dBm maximum
• 802.11ac, MCS9 : -52dBm maximum
•802.11ax, MCS11(HT40): -49dBm maximum
5GHz (SISO):
• 802.11a, 54Mbps : -71dBm maximum
• 802.11n, MCS07 : -64dBm maximum
• 802.11ac, MCS9 : -52dBm maximum
•802.11ax, MCS11(HE80/HE160): -46dBm maximum
6GHz (SISO):
• 802.11a, 54Mbps : -71dBm maximum
• 802.11n, MCS7 : -64dBm maximum
• 802.11ac, MCS9 : -52dBm maximum
•802.11ax, MCS11(HE160): -46dBm maximum</t>
  </si>
  <si>
    <t>HP Integrated Module with Bluetooth 4.0/4.1/4.2/5.0/5.1 Wireless Technology</t>
  </si>
  <si>
    <t>4.0/4.1/4.2/5.0/5.1 Compliant</t>
  </si>
  <si>
    <t>The Bluetooth component shall operate as a Class 1.5 Bluetooth device with a maximum transmit power of + 14 dBm and  10 dBm for BR and EDR, respectively.</t>
  </si>
  <si>
    <t>BT4.1-ESR 5/6/7 Compliance
LE Link Layer Ping
LE Dual Mode
LE Link Layer
LE Low Duty Cycle Directed Advertising
LE L2CAP Connection Oriented Channels
Train Nudging &amp; Interlaced Scan
BT4.2 ESR08 Compliance
LE Secure Connection- Basic/Full
LE Privacy 1.2 –Link Layer Privacy
LE Privacy 1.2 –Extended Scanner Filter Policies
LE Data Packet Length Extension
FAX Profile (FAX)
Basic Imaging Profile (BIP)2
Headset Profile (HSP)
Hands Free Profile (HFP)
Advanced Audio Distribution Profile (A2DP)
BT5.2
ESR9/10 Compliance
LE Advertisement Extensions
Channel Selection Algo
Limited High Duty Cycle Non-Connectable Advertising
2Mbps LE
LE Long Range
Windows BT profiles support
BT5.3
Periodic Advertisement interval
Encryption key size control enhancements</t>
  </si>
  <si>
    <t>Intel(R) 5G Solution 5000 [1]</t>
  </si>
  <si>
    <t>WWAN1</t>
  </si>
  <si>
    <t xml:space="preserve">*Intel® 5G module is optional and must be configured at the factory. Module designed for 5G SA (standalone), and 5G NR NSA (non-standalone) networks as carriers deploy Evolved-Universal Terrestrial Radio Access New Radio Dual Connectivity (ENDC) with both 100Mhz of 5G NR and LTE channel bandwidth, using 256QAM 4x4 as defined by 3GPP. Module requires activation and separately purchased service contract. Check with service provider for coverage and availability in your area. Data connection, upload and download speeds will vary due to network, location, environment, network conditions, and other factors. Backwards compatible to 4G LTE and 3G HSPA technologies. 5G module planned to be available in select platforms and select countries, where carrier supported. </t>
  </si>
  <si>
    <t>Technology/Operating bands</t>
  </si>
  <si>
    <t>WCDMA/HSPA+ operating bands:
Band 1: 1920 to 1980 MHz (UL), 2110 to 2170 MHz (DL)
Band 2: 1850 to 1910 MHz (UL), 1930 to 1990 MHz (DL)
Band 4: 1710 to 1755 MHz (UL), 2110 to 2155 MHz (DL)
Band 5: 824 to 849 MHz (UL), 869 to 894 MHz (DL)
Band 8: 880 to 915 MHz (UL), 925 to 960 MHz (DL)
LTE FDD/TDD operating bands:
Band 1: 1920 to 1980 MHz (UL), 2110 to 2170 MHz (DL)
Band 2: 1850 to 1910 MHz (UL), 1930 to 1990 MHz (DL)
Band 3: 1710 to 1785 MHz (UL), 1805 to 1880 MHz (DL)
Band 4: 1710 to 1755 MHz (UL), 2110 to 2155 MHz (DL)
Band 5: 824 to 849 MHz (UL), 869 to 894 MHz (DL)
Band 7: 2500 to 2570 MHz (UL), 2620 to 2690 MHz (DL)
Band 8: 880 to 915 MHz (UL), 925 to 960 MHz (DL)
Band 12: 699 to 716 MHz (UL), 729 to 746 MHz (DL)
Band 13: 777 to 787 MHz (UL), 746 to 756 MHz (DL)
Band 14: 788 to 798 MHz (UL), 758 to 768 MHz (DL)
Band 17: 704 to 716 MHz (UL), 734 to 746 MHz (DL)
Band 18: 815 to 830 MHz (UL), 860 to 875 MHz (DL)
Band 19: 830 to 845 MHz (UL), 875 to 890 MHz (DL)
Band 20: 832 to 862 MHz (UL), 791 to 821 MHz (DL)
Band 25: 1850 to 1915 MHz (UL), 1930 to 1995 MHz (DL)
Band 26: 814 to 849 MHz (UL), 859 to 894 MHz (DL)
Band 28: 703 to 748 MHz (UL), 758 to 803 MHz (DL)
Band 29: 717 to 728 MHz (DL)
Band 30: 2305 to 2315 MHz (UL) 2350 to 2360 MHz (DL)
Band 32: 1452 to 1496 MHz (DL)
Band 34: 2010 to 2025 MHz (UL/DL)
Band 38: 2570 to 2620 MHz (UL/DL)
Band 39: 1880 to 1920 MHz (UL/DL)
Band 40: 2300 to 2400 MHz (UL/DL)
Band 41: 2496 to 2690 MHz (UL/DL)
Band 42: 3400 to 3600 MHZ (UL/DL)
Band 43: 3400 to 3800 MHZ (UL/DL)
Band 46: 5150 to 5925 MHZ (DL)
Band 48: 3550 to 3700 MHZ (UL/DL)
Band 66: 1710 to 1800 MHz (UL), 2110 to 2200 MHz (DL)
Band 71: 663 to 698 MHz (UL), 617 to 652 MHz (DL)
5GNR Sub 6GHZ
n1: 1920 to 1980 MHz (UL), 2110 to 2170 MHz (DL)
n2: 1850 to 1910 MHz (UL), 1930 to 1990 MHz (DL)
n3: 1710 to 1785 MHz (UL), 1805 to 1880 MHz (DL)
n5: 824 to 849 MHz (UL), 869 to 894 MHz (DL)
n7: 2500 to 2570 MHz (UL), 2620 to 2690 MHz (DL)
n8: 880 to 915 MHz (UL), 925 to 960 MHz (DL)
n20: 832 to 862 MHz (UL), 791 to 821 MHz (DL)
n25: 1850 to 1915 MHz (UL), 1930 to 1995 MHz (DL)
n28: 703 to 748 MHz (UL), 758 to 803 MHz (DL)
n38: 2570 to 2620 MHz (UL/DL)
n40: 2300 to 2400 MHz (UL/DL)
n41: 2496 to 2690 MHz (UL/DL)
n48: 3550 to 3700 MHZ (UL/DL)
n66: 1710 to 1800 MHz (UL), 2110 to 2200 MHz (DL)
n71: 663 to 698 MHz (UL), 617 to 652 MHz (DL)
n77: 3300 to 4200 MHz (UL/DL)
n78: 3300 to 3800 MHz (UL/DL)
n79: 4400 to 5000 MHz (UL/DL)</t>
  </si>
  <si>
    <t>Wireless protocol standards</t>
  </si>
  <si>
    <t>5GNR Air Interface
3GPP Rel15 5G NR sub-6
LTE Rel14
 20 layers and 2 Gbps downlink (DL) throughput – 4 × 4 MIMO across 5x CA
200 Mbps/uplink (UL) throughput – 40 MHz ULCA and 256 QAM
WCDMA R99,
3GPP Release 5, 6, 7 and 8 UMTS Specification</t>
  </si>
  <si>
    <t>GPS</t>
  </si>
  <si>
    <t>Standalone, A-GPS (MS-A, MS-B)</t>
  </si>
  <si>
    <t>GPS bands</t>
  </si>
  <si>
    <t>GPS: L1 (1575.42MHz)
GLONASS: L1 (1602MHz)
BeidouB1(1561.098MHz)
Galileo E1 (1575.42)
QZSS(1575.42 MHz)</t>
  </si>
  <si>
    <t>Maximum data rates</t>
  </si>
  <si>
    <t>SA 5G/NR sub-6 Peak: DL4.67Gbps/ UL 1.25Gbps
5G NSA sub 6G : DL: 3.8 Gbps/UL 700Mbps
LTE: ue-CategoryDL 19, (DL : 1.6 Gbps )
 ue-CategoryUL 18 , (UL: 211Mbps)
DC-HSPA+: 42 Mbps (Download), 11.5 Mbps (Upload)</t>
  </si>
  <si>
    <t>Maximum output power</t>
  </si>
  <si>
    <t xml:space="preserve">LTE: 23 dBm in all band except B41
LTE B41 HPUE = 26dBm
NR: 23 dBm in all band except n41, n77, n78 and n79
LTE n41, n77, n78 and n79 HPUE = 26dBm
HSPA+: 23.5 dBm </t>
  </si>
  <si>
    <t>Maximum power consumption</t>
  </si>
  <si>
    <t>5G Sub 6 : 2500 mA
LTE: 1,300 mA (peak); 1100 mA (average)
HSPA+: 1,100 mA (peak); 800 mA (average)</t>
  </si>
  <si>
    <t>M.2, 3052-S3 Key B</t>
  </si>
  <si>
    <t>8 g</t>
  </si>
  <si>
    <t>Dimensions
(Length x Width x Thickness)</t>
  </si>
  <si>
    <t>52 mm × 30 mm × 2.3 mm</t>
  </si>
  <si>
    <t>embedded eSIM</t>
  </si>
  <si>
    <t>Support</t>
  </si>
  <si>
    <t>Intel® XMM™ 7560 R+ LTE-Advanced Pro [1]</t>
  </si>
  <si>
    <t>WWAN2</t>
  </si>
  <si>
    <t>*Mobile Broadband is an optional feature, Connection requires wireless data service contract, network support, and is not available in all areas.
Contact service providers determine the coverage area and availability. Connection speeds will vary due to location,
environment, network conditions, and other factors. 4G LTE is not available on all products, in all regions.</t>
  </si>
  <si>
    <t>FDD LTE: 2100 (Band 1), 1900 (Band 2), 1800 (Band 3),
1700/2100 (Band 4), 850 (Band 5), 2600 (Band 7), 900 (Band 8), 700 (Band 12 lower), 700 (Band 13 upper), 700 (Band 14 upper), 700 (Band 17 lower), 850 (Band 18 lower), 850 (Band 19 upper), 800 (Band 20), 1900 (Band 25), 850 (Band 26), 700 (Band 28), 700 (Band 29 RX only), 2300 (Band 30), 1700/2100 (Band 66), 600 (band 71).
TDD LTE: 2100 (Band 34), 2600 (Band 38), 1900 (Band 39), 2400 (Band 40), 2500 (Band 41), 3500 (Band 42), 3700 (Band 43), 3700 (band 48), 5200 (Band 46 RX only) MHz;
HSPA+: 2100 (Band 1), 1900 (Band 2), 1700/2100 (Band 4),
850 (Band 5), 900 (Band 8) MHz</t>
  </si>
  <si>
    <t>3GPP Release 12 LTE Specification DL-CAT.16, DL 100MHz BW throughput up to 978Mbps; UL-CAT.13 40MHz throughput up to 150Mbps
WCDMA R99, 3GPP Release 5, 6, 7 and 8 UMTS Specification</t>
  </si>
  <si>
    <t>Standalone GPS/Beidou/Glonass, A-GPS (MS-A, MS-B)</t>
  </si>
  <si>
    <t>1575.42 MHz ± 1.023 MHz,  GLONASS 1596-1607MHz, Beidou 1561.098 MHz</t>
  </si>
  <si>
    <t>LTE: 978 Mbps (Download), 150 Mbps (Upload)
DC-HSPA+: 42 Mbps (Download), 5.76 Mbps (Upload)
HSPA+: 21Mbps (Download), 5.76 Mbps (Upload)</t>
  </si>
  <si>
    <t>LTE: 23 dBm in all band except B41
LTE B41 HPUE = 26dBm
HSPA+: 23.5 dBm</t>
  </si>
  <si>
    <t>LTE: 1,200 mA (peak); 900 mA (average)
HSPA+: 1,100 mA (peak); 800 mA (average)</t>
  </si>
  <si>
    <t>M.2, 3042-S3 Key B</t>
  </si>
  <si>
    <t>6 g</t>
  </si>
  <si>
    <t>42 x 30 x 2.3 mm</t>
  </si>
  <si>
    <t>Qualcomm 9205</t>
  </si>
  <si>
    <t>LPWAN</t>
  </si>
  <si>
    <t>FDD LTE: 2100 (Band 1), 1900 (Band 2), 1800 (Band 3),
1700/2100 (Band 4), 850 (Band 5), 900 (Band 8), 700 (Band 12 lower), 700 (Band 13 upper), 700 (Band 14 upper), 850 (Band 18 lower), 850 (Band 19 upper), 800 (Band 20), 1900 (Band 25), 850 (Band 26), 800 (Band 27), 700 (Band 28),  1700/2100 (Band 66), 700 (band 85) MHz.
GSM/GPRS/EGPRS: 850, 900, 1800, 1900MHz.</t>
  </si>
  <si>
    <r>
      <t>l</t>
    </r>
    <r>
      <rPr>
        <sz val="11"/>
        <color rgb="FF000000"/>
        <rFont val="Calibri"/>
        <family val="2"/>
      </rPr>
      <t xml:space="preserve"> 3GPP TS 51.010-1 V10.5.0: Mobile Station (MS) conformance specification; Part 1: Conformance specification</t>
    </r>
    <r>
      <rPr>
        <sz val="11"/>
        <color rgb="FF000000"/>
        <rFont val="Wingdings"/>
        <family val="2"/>
        <charset val="2"/>
      </rPr>
      <t xml:space="preserve">
l</t>
    </r>
    <r>
      <rPr>
        <sz val="11"/>
        <color rgb="FF000000"/>
        <rFont val="Calibri"/>
        <family val="2"/>
      </rPr>
      <t xml:space="preserve"> 3GPP TS 36.521-1 V14.3.0: User Equipment (UE) conformance specification; Radio transmission and reception; Part 1: Conformance testing</t>
    </r>
    <r>
      <rPr>
        <sz val="11"/>
        <color rgb="FF000000"/>
        <rFont val="Wingdings"/>
        <family val="2"/>
        <charset val="2"/>
      </rPr>
      <t xml:space="preserve">
l</t>
    </r>
    <r>
      <rPr>
        <sz val="11"/>
        <color rgb="FF000000"/>
        <rFont val="Calibri"/>
        <family val="2"/>
      </rPr>
      <t xml:space="preserve"> 3GPP TS 21.111 V10.0.0: USIM and IC card requirements</t>
    </r>
    <r>
      <rPr>
        <sz val="11"/>
        <color rgb="FF000000"/>
        <rFont val="Wingdings"/>
        <family val="2"/>
        <charset val="2"/>
      </rPr>
      <t xml:space="preserve">
l</t>
    </r>
    <r>
      <rPr>
        <sz val="11"/>
        <color rgb="FF000000"/>
        <rFont val="Calibri"/>
        <family val="2"/>
      </rPr>
      <t xml:space="preserve"> 3GPP TS 51.011 V4.15.0: Specification of the Subscriber Identity Module -Mobile Equipment (SIM-ME) interface</t>
    </r>
    <r>
      <rPr>
        <sz val="11"/>
        <color rgb="FF000000"/>
        <rFont val="Wingdings"/>
        <family val="2"/>
        <charset val="2"/>
      </rPr>
      <t xml:space="preserve">
l</t>
    </r>
    <r>
      <rPr>
        <sz val="11"/>
        <color rgb="FF000000"/>
        <rFont val="Calibri"/>
        <family val="2"/>
      </rPr>
      <t xml:space="preserve"> 3GPP TS 31.102 V10.11.0: Characteristics of the Universal Subscriber Identity Module (USIM) application</t>
    </r>
    <r>
      <rPr>
        <sz val="11"/>
        <color rgb="FF000000"/>
        <rFont val="Wingdings"/>
        <family val="2"/>
        <charset val="2"/>
      </rPr>
      <t xml:space="preserve">
l</t>
    </r>
    <r>
      <rPr>
        <sz val="11"/>
        <color rgb="FF000000"/>
        <rFont val="Calibri"/>
        <family val="2"/>
      </rPr>
      <t xml:space="preserve"> 3GPP TS 31.11 V10.16.0: Universal Subscriber Identity Module (USIM) Application Toolkit (USAT)</t>
    </r>
    <r>
      <rPr>
        <sz val="11"/>
        <color rgb="FF000000"/>
        <rFont val="Wingdings"/>
        <family val="2"/>
        <charset val="2"/>
      </rPr>
      <t xml:space="preserve">
l</t>
    </r>
    <r>
      <rPr>
        <sz val="11"/>
        <color rgb="FF000000"/>
        <rFont val="Calibri"/>
        <family val="2"/>
      </rPr>
      <t xml:space="preserve"> 3GPP TS 36.124 V10.3.0: Electro Magnetic Compatibility (EMC) requirements for mobile terminals and ancillary equipment</t>
    </r>
    <r>
      <rPr>
        <sz val="11"/>
        <color rgb="FF000000"/>
        <rFont val="Wingdings"/>
        <family val="2"/>
        <charset val="2"/>
      </rPr>
      <t xml:space="preserve">
l</t>
    </r>
    <r>
      <rPr>
        <sz val="11"/>
        <color rgb="FF000000"/>
        <rFont val="Calibri"/>
        <family val="2"/>
      </rPr>
      <t xml:space="preserve"> 3GPP TS 27.007 V10.0.8: AT command set for User Equipment (UE)</t>
    </r>
    <r>
      <rPr>
        <sz val="11"/>
        <color rgb="FF000000"/>
        <rFont val="Wingdings"/>
        <family val="2"/>
        <charset val="2"/>
      </rPr>
      <t xml:space="preserve">
l</t>
    </r>
    <r>
      <rPr>
        <sz val="11"/>
        <color rgb="FF000000"/>
        <rFont val="Calibri"/>
        <family val="2"/>
      </rPr>
      <t xml:space="preserve"> 3GPP TS 27.005 V10.0.1: Use of Data Terminal Equipment - Data Circuit terminating Equipment (DTE - DCE) interface for Short Message Service (SMS) and Cell Broadcast Service (CBS)</t>
    </r>
  </si>
  <si>
    <t>LTE FDD: 375 Kbps (Download), 1119 Kbps (Upload)
GSM:
- GPRS: 107 Kbps (Download), 85.6 Kbps (Upload)
- EGPRS: 296 Kbps (Download), 236.8 Kbps (Upload)</t>
  </si>
  <si>
    <t>LTE: 21.5 dBm in all band
GSM:34dBm</t>
  </si>
  <si>
    <t>M.2, 2242-S3 Key B</t>
  </si>
  <si>
    <t>5.5 g</t>
  </si>
  <si>
    <t>22 x 42 x 2.3 mm</t>
  </si>
  <si>
    <t> Value Examples</t>
  </si>
  <si>
    <t>NFC Mirage module (NXP NPC300 I2C 10mmx17mm)</t>
  </si>
  <si>
    <t>NFC</t>
  </si>
  <si>
    <t>Dimensions (L x W x  H)</t>
  </si>
  <si>
    <t>Module 25 mm by 10 mm by 2.0 mm</t>
  </si>
  <si>
    <t>NPC300</t>
  </si>
  <si>
    <t>System interface</t>
  </si>
  <si>
    <t>I2C</t>
  </si>
  <si>
    <t>NFC RF standards</t>
  </si>
  <si>
    <t>ISO/IEC 14443 A
ISO/IEC 14443 B
ISO/IEC 15693
ISO/IEC 18092
ECMA-340 NFCIP-1 Target and Initiator
ECMA-320 NFCIP-2</t>
  </si>
  <si>
    <t>NFC Forum Support</t>
  </si>
  <si>
    <t>Tag Type 1, Type 2, Type3 and Type 4, NFCIP-1 and NFCIP-2</t>
  </si>
  <si>
    <t>Reader (PCD-VCD) Mode</t>
  </si>
  <si>
    <t>ISO/IEC 14443 A
ISO/IEC 14443 B
ISO/IEC 15693
MIFARE 1K
MIFARE 4K
MIFARE DESFire
FeliCa
Jewel and Topaz cards</t>
  </si>
  <si>
    <t>Card Emulation (PICC-VICC) Mode</t>
  </si>
  <si>
    <t>ISO/IEC 14443 A
ISO/IEC 14443 B and B’
MIFARE
FeliCa</t>
  </si>
  <si>
    <t>Frequency</t>
  </si>
  <si>
    <t>13.56 MHz</t>
  </si>
  <si>
    <t>NFC Modes Supported</t>
  </si>
  <si>
    <t>Reader/Writer, Peer-to-Peer</t>
  </si>
  <si>
    <t>Raw RF Data Rates</t>
  </si>
  <si>
    <t>106, 212, 424, 848 kbps</t>
  </si>
  <si>
    <t>Operating temperature</t>
  </si>
  <si>
    <t>0°C  to 70°C</t>
  </si>
  <si>
    <t>Storage temperature</t>
  </si>
  <si>
    <t>-20°C to 125°C</t>
  </si>
  <si>
    <t>10-90% operating
5-95% non-operating</t>
  </si>
  <si>
    <t>Supply Operating voltage</t>
  </si>
  <si>
    <t>4.35 to 5.25 Volts</t>
  </si>
  <si>
    <t>I/O Voltage</t>
  </si>
  <si>
    <t>1.8V or 3.3V</t>
  </si>
  <si>
    <t>Power Consumption
(Booster enable, VBAT= 3.3V, VCC_BOOST = 5V)</t>
  </si>
  <si>
    <t>Mode</t>
  </si>
  <si>
    <t>Power Consumption, Typical</t>
  </si>
  <si>
    <t>Polling</t>
  </si>
  <si>
    <t>7.3 mA</t>
  </si>
  <si>
    <t>Detected Test Tag Type 1</t>
  </si>
  <si>
    <t>Total 283.8 mA
Net Module 236.8 mA</t>
  </si>
  <si>
    <t>Detected Test Tag Type 2</t>
  </si>
  <si>
    <t>Total 288.8 mA
Net Module 241.8 mA</t>
  </si>
  <si>
    <t>Detected Test Tag Type 3</t>
  </si>
  <si>
    <t>Total 287.7 mA
Net Module 240.7 mA</t>
  </si>
  <si>
    <t>Detected Test Tag Type 4</t>
  </si>
  <si>
    <t>Total 282.3 mA
Net Module 235.3 mA</t>
  </si>
  <si>
    <t>Antenna</t>
  </si>
  <si>
    <t>Antenna connector, 0.5mm pitch, 7 connector FPC.  Antenna matching is external to module.</t>
  </si>
  <si>
    <t>AC Adapter 65 Watt nPFC Standard USB type C Straight 1.8m (Ceto)</t>
  </si>
  <si>
    <t>HP 65W Smart AC adapter</t>
  </si>
  <si>
    <t>3.543 x 2.008 x 1.122 in (9.0x5.1x2.85cm)</t>
  </si>
  <si>
    <t>4.25 x 1.85 x 1.47 in (10.8 x 4.7 x 3.74 cm)</t>
  </si>
  <si>
    <t xml:space="preserve">Weight </t>
  </si>
  <si>
    <t>0.53 lb (240 g) max (Not including power cord. Power cord varies by country.)</t>
  </si>
  <si>
    <t>1.81 lb (250 g) max (Not including power cord. Power cord varies by country.)</t>
  </si>
  <si>
    <t>Input</t>
  </si>
  <si>
    <t>100-240Vac</t>
  </si>
  <si>
    <t>100 to 240 VAC</t>
  </si>
  <si>
    <t xml:space="preserve">Input Efficiency </t>
  </si>
  <si>
    <t>Average Efficiency of 25%, 50%, 75%, 100% load condition with 115Vac/230Vac Spec:
5V : 81.5%
9V : 86.7%
12V : 88.0%
15V : 89.0%
20V : 89.0%</t>
  </si>
  <si>
    <t>88.0 % at 115 VAC and  89.0 % at 230VAC</t>
  </si>
  <si>
    <t xml:space="preserve">Input frequency range </t>
  </si>
  <si>
    <t>47-63Hz</t>
  </si>
  <si>
    <t>48 ~ 63 Hz</t>
  </si>
  <si>
    <t>Input AC current</t>
  </si>
  <si>
    <t>Max. 1.6 A at 90 Vac</t>
  </si>
  <si>
    <t>Max. 1.7 A at 90 VAC</t>
  </si>
  <si>
    <t>Output</t>
  </si>
  <si>
    <t xml:space="preserve">Output power </t>
  </si>
  <si>
    <t>5V/15W 
9V/27W
12V/60W
15V/65W
20V/65W</t>
  </si>
  <si>
    <t xml:space="preserve">DC output </t>
  </si>
  <si>
    <t>5V/9V/12V/15V/20V</t>
  </si>
  <si>
    <t>19.5V</t>
  </si>
  <si>
    <t xml:space="preserve">Hold-up time </t>
  </si>
  <si>
    <t>100% load 5ms at 115 Vac input</t>
  </si>
  <si>
    <t>5ms at 115 Vac input</t>
  </si>
  <si>
    <t>Output current limit</t>
  </si>
  <si>
    <t>&lt; 8.0A</t>
  </si>
  <si>
    <t>&lt;11.0A Over voltage protection- 29V max
automatic shutdown</t>
  </si>
  <si>
    <t>Connector</t>
  </si>
  <si>
    <t>C6</t>
  </si>
  <si>
    <t>4.5mm Barrel Type, 3 pin/grounded, mates with interchangeable cords</t>
  </si>
  <si>
    <t>Environmental Design</t>
  </si>
  <si>
    <t xml:space="preserve">Operating temperature </t>
  </si>
  <si>
    <t>32oF to 95oF (0oto 35oC)</t>
  </si>
  <si>
    <t xml:space="preserve">Non-operating (storage) temperature </t>
  </si>
  <si>
    <t>-4oF to 185oF (-20oto 85oC)</t>
  </si>
  <si>
    <t xml:space="preserve">Altitude </t>
  </si>
  <si>
    <t>0 to 16,400 ft (0 to 5000m)</t>
  </si>
  <si>
    <t>1 to 16,400 ft (0 to 5000m)</t>
  </si>
  <si>
    <t xml:space="preserve">Humidity </t>
  </si>
  <si>
    <t>20% to 95%</t>
  </si>
  <si>
    <t>Storage Humidity</t>
  </si>
  <si>
    <t>10% to 95%</t>
  </si>
  <si>
    <t>EMI and Safety Certifications</t>
  </si>
  <si>
    <t xml:space="preserve">CE Mark - full compliance with LVD and EMC directives
Worldwide safety standards - IEC60950-1 and IEC62368-1 : 2018, EN62368-1:2014+A11, UL 62368-1 
Agency approvals - C-UL-US, TUV/GS, TUV/PSE, EN55032 Class B, FCC Class B, CISPR32 Class B, CCC and CECP, CU(EAC), EAEU, KCC(Safety+EMC) and K-MEPS, NOM-001 and 029 NYCE, NRcan, NRCS, ISC, SEC, PSB, Argentina S-mark, Australia RCM, BIS, BSMI, UAE, UKCA DoC
</t>
  </si>
  <si>
    <t>*CE Mark - full compliance with LVD and EMC directives
* Worldwide safety standards - IEC60950, EN60950, UL60950, Class1, SELV; Agency approvals - C-UL-US, NORDICS, DENAN, EN55022 Class B, FCC Class B, CISPR22 Class B, CCC, NOM-1 NYCE.
* MTBF - over 200,000 hours at 25°C ambient condition.</t>
  </si>
  <si>
    <t>HP 65W Slim USB-C Straight AC Power Adapter (Taroko)</t>
  </si>
  <si>
    <t>HP 45W Smart AC adapter</t>
  </si>
  <si>
    <t>3.819 x 2.106 x 0.827 in (9.7x5.35x2.1cm)</t>
  </si>
  <si>
    <t>0.49 lb (220 g) max (Not including power cord. Power cord varies by country.)</t>
  </si>
  <si>
    <r>
      <t xml:space="preserve">1.81 lb (250g) max </t>
    </r>
    <r>
      <rPr>
        <sz val="11"/>
        <color rgb="FFFF0000"/>
        <rFont val="Calibri"/>
        <family val="2"/>
        <scheme val="minor"/>
      </rPr>
      <t>(Not including power cord. Power cord varies by country.)</t>
    </r>
  </si>
  <si>
    <t>HP 100W+10W Slim USB-C+USB-A Straight AC Power Adapter (Kenting)</t>
  </si>
  <si>
    <t>HP 35W Smart AC adapter</t>
  </si>
  <si>
    <t>5.354 x 2.362 x 0.866 in (13.6x6.0x2.2cm)</t>
  </si>
  <si>
    <t>0.88 lb (400 g) max (Not including power cord. Power cord varies by country.)</t>
  </si>
  <si>
    <t>Average Efficiency of 25%, 50%, 75%, 100% load condition with 115Vac/230Vac Spec:
5V_USB Type-A : 73.62%
5V : 81.5%
9V : 86.7%
12V : 88.0%
15V : 89.0%
20V : 89.0%</t>
  </si>
  <si>
    <t>5V/10W_USB Type-A
5V/15W
9V/27W
12V/60W
15V/75W
20V/100W</t>
  </si>
  <si>
    <t>5V_USB Type-A/5V/9V/12V/15V/20V</t>
  </si>
  <si>
    <t>100% load 5ms at 115 Vac input/80% load 10ms at 115 Vac input</t>
  </si>
  <si>
    <t>5V_USB Type-A/5V/9V/12V/15V&lt;125% max current, 20V&lt;135% max current</t>
  </si>
  <si>
    <r>
      <t>32</t>
    </r>
    <r>
      <rPr>
        <vertAlign val="superscript"/>
        <sz val="11"/>
        <rFont val="Calibri"/>
        <family val="2"/>
      </rPr>
      <t>o</t>
    </r>
    <r>
      <rPr>
        <sz val="11"/>
        <rFont val="Calibri"/>
        <family val="2"/>
      </rPr>
      <t>F to 95</t>
    </r>
    <r>
      <rPr>
        <vertAlign val="superscript"/>
        <sz val="11"/>
        <rFont val="Calibri"/>
        <family val="2"/>
      </rPr>
      <t>o</t>
    </r>
    <r>
      <rPr>
        <sz val="11"/>
        <rFont val="Calibri"/>
        <family val="2"/>
      </rPr>
      <t>F (0</t>
    </r>
    <r>
      <rPr>
        <vertAlign val="superscript"/>
        <sz val="11"/>
        <rFont val="Calibri"/>
        <family val="2"/>
      </rPr>
      <t>o</t>
    </r>
    <r>
      <rPr>
        <sz val="11"/>
        <rFont val="Calibri"/>
        <family val="2"/>
      </rPr>
      <t>to 35</t>
    </r>
    <r>
      <rPr>
        <vertAlign val="superscript"/>
        <sz val="11"/>
        <rFont val="Calibri"/>
        <family val="2"/>
      </rPr>
      <t>o</t>
    </r>
    <r>
      <rPr>
        <sz val="11"/>
        <rFont val="Calibri"/>
        <family val="2"/>
      </rPr>
      <t>C)</t>
    </r>
  </si>
  <si>
    <r>
      <t>-4</t>
    </r>
    <r>
      <rPr>
        <vertAlign val="superscript"/>
        <sz val="11"/>
        <rFont val="Calibri"/>
        <family val="2"/>
      </rPr>
      <t>o</t>
    </r>
    <r>
      <rPr>
        <sz val="11"/>
        <rFont val="Calibri"/>
        <family val="2"/>
      </rPr>
      <t>F to 185</t>
    </r>
    <r>
      <rPr>
        <vertAlign val="superscript"/>
        <sz val="11"/>
        <rFont val="Calibri"/>
        <family val="2"/>
      </rPr>
      <t>o</t>
    </r>
    <r>
      <rPr>
        <sz val="11"/>
        <rFont val="Calibri"/>
        <family val="2"/>
      </rPr>
      <t>F (-20</t>
    </r>
    <r>
      <rPr>
        <vertAlign val="superscript"/>
        <sz val="11"/>
        <rFont val="Calibri"/>
        <family val="2"/>
      </rPr>
      <t>o</t>
    </r>
    <r>
      <rPr>
        <sz val="11"/>
        <rFont val="Calibri"/>
        <family val="2"/>
      </rPr>
      <t>to 85</t>
    </r>
    <r>
      <rPr>
        <vertAlign val="superscript"/>
        <sz val="11"/>
        <rFont val="Calibri"/>
        <family val="2"/>
      </rPr>
      <t>o</t>
    </r>
    <r>
      <rPr>
        <sz val="11"/>
        <rFont val="Calibri"/>
        <family val="2"/>
      </rPr>
      <t>C)</t>
    </r>
  </si>
  <si>
    <t>CE Mark - full compliance with LVD and EMC directives
Worldwide safety standards - IEC60950-1, IEC 62368-1:2014 and IEC62368-1 : 2018, EN62368-1:2020+A11, UL 62368-1 
Agency approvals - C-UL-US, TUV/GS, TUV/PSE, EN55032 Class B, FCC Class B, CISPR32 Class B, CCC, CU(EAC), KCC(Safety+EMC), NOM-001 NYCE, NRcan, NRCS, ISC, SEC, PSB, Argentina S-mark, Australia RCM, BIS, BSMI, UAE, UKCA DoC, Ukraine(CoC+DoC+RoHS+ECO)</t>
  </si>
  <si>
    <t>HP 3-cell Long Life Li-Ion (51 WHr)</t>
  </si>
  <si>
    <t>HP 3-cell Long Life Li-Ion (31 WHr)</t>
  </si>
  <si>
    <t>Dimensions (H x W x L)</t>
  </si>
  <si>
    <t>251.8*70.3*6.82mm (9.91*2.77*0.27 inch)</t>
  </si>
  <si>
    <t>7.0. x180.48x88.95 mm (0.273 x 7.09 x 3.49 inch)</t>
  </si>
  <si>
    <t>0.229kg +/- 10g(0.505 lb)</t>
  </si>
  <si>
    <t>0.22 kg (0.48 lb)</t>
  </si>
  <si>
    <t>Cells/Type</t>
  </si>
  <si>
    <t>3cell Lithium-Ion Polymer cell / 566075</t>
  </si>
  <si>
    <t>3cell Lithium-Ion Polymer cell / 506480</t>
  </si>
  <si>
    <t>Energy</t>
  </si>
  <si>
    <t>Voltage</t>
  </si>
  <si>
    <t>11.58V</t>
  </si>
  <si>
    <t>11.4V/ 10.95V</t>
  </si>
  <si>
    <t>Amp-hour capacity</t>
  </si>
  <si>
    <t>4.431Ah</t>
  </si>
  <si>
    <t>4.212Ah /4.385Ah</t>
  </si>
  <si>
    <t>Watt-hour capacity</t>
  </si>
  <si>
    <t>51.3Wh</t>
  </si>
  <si>
    <t>48Wh</t>
  </si>
  <si>
    <t>Operating (Charging)</t>
  </si>
  <si>
    <t>32˚ to 113˚ F (0˚ to 45˚ C)</t>
  </si>
  <si>
    <t>Operating (Discharging)</t>
  </si>
  <si>
    <t>14˚ to 140˚ F (-10˚ to 60˚ C)</t>
  </si>
  <si>
    <t>14˚ to 122˚ F (-10˚ to 60˚ C)</t>
  </si>
  <si>
    <t>Fuel Gauge LED</t>
  </si>
  <si>
    <t>NA</t>
  </si>
  <si>
    <t>Follow product spec</t>
  </si>
  <si>
    <t>1-year[6]</t>
  </si>
  <si>
    <t>Optional Travel Battery Available</t>
  </si>
  <si>
    <t>[6] Batteries have a default one year limited warranty except for Long Life batteries which will have same
1-year or 3-year limited warranty as the platform.</t>
  </si>
  <si>
    <t>HP 6-cell Long Life Li-Ion (76WHr)</t>
  </si>
  <si>
    <t>303.2*90.1*6.82mm(11.94*3.55*0.27 inch)</t>
  </si>
  <si>
    <t>0.357kg +/- 10g(0.787 lb)</t>
  </si>
  <si>
    <t>6cell Lithium-Ion Polymer cell / 564975</t>
  </si>
  <si>
    <t>6.565Ah</t>
  </si>
  <si>
    <t>76Wh</t>
  </si>
  <si>
    <t>HD Stereo Codec</t>
  </si>
  <si>
    <t>Realtek ALC3315</t>
  </si>
  <si>
    <t>Realtek ALC3205</t>
  </si>
  <si>
    <t>Audio I/O Ports</t>
  </si>
  <si>
    <t>Headset : CTIA only and Headphone-out</t>
  </si>
  <si>
    <t>Front: Headset connector supports a CTIA and OMTP style headset and is re-taskable as a Line-in, Line-out, Microphone-in or Headphone-out port</t>
  </si>
  <si>
    <t>Internal Speaker Amplifier</t>
  </si>
  <si>
    <t xml:space="preserve">Cirrus Logic High-Efficiency Boosted Class D Amplifier </t>
  </si>
  <si>
    <t>2W class D mono amplifier for the internal speaker only. External speakers must be powered</t>
  </si>
  <si>
    <t>Multi-streaming Capable</t>
  </si>
  <si>
    <t>Playback multi-streaming can be enabled in the audio control panel to allow independent audio. Following MSFT Behaviour</t>
  </si>
  <si>
    <t>Playback multi-streaming can be enabled in the audio control panel to allow independent audio</t>
  </si>
  <si>
    <t>Sampling</t>
  </si>
  <si>
    <t xml:space="preserve">DAC:48kHz
ADC:48kHz
</t>
  </si>
  <si>
    <t>streams to be sent to/from the front and rear jacks or integrated speaker.</t>
  </si>
  <si>
    <t>Wavetable Syntheses</t>
  </si>
  <si>
    <t>Independent sampling rates for DAC’s and ADC’s; supports resolutions from 16 to 24-bit; 44.1 kHz</t>
  </si>
  <si>
    <t>Analog Audio</t>
  </si>
  <si>
    <t>Support 3.5mm Headset : CTIA only  and Headphone-out</t>
  </si>
  <si>
    <t>to 192 kHz for DAC and 44.1 kHz to 96 kHz for ADC</t>
  </si>
  <si>
    <t># of Channels on Line-Out</t>
  </si>
  <si>
    <t>Yes - Uses OS soft wavetable</t>
  </si>
  <si>
    <t>Internal Speaker</t>
  </si>
  <si>
    <t>Codename</t>
  </si>
  <si>
    <t>Fingerprint Reader</t>
  </si>
  <si>
    <t xml:space="preserve">Sensor vendor
</t>
  </si>
  <si>
    <t>Main source : Synaptics FS7605
2nd source : ELAN 80SW</t>
  </si>
  <si>
    <t>Synaptics FS7604</t>
  </si>
  <si>
    <t>Sensor type</t>
  </si>
  <si>
    <t>Capacitive</t>
  </si>
  <si>
    <t xml:space="preserve">Capacitive
</t>
  </si>
  <si>
    <t>DPI resolution</t>
  </si>
  <si>
    <t>Main source : 363 DPI
2nd source : 508 DPI</t>
  </si>
  <si>
    <t>363 DPI</t>
  </si>
  <si>
    <t>Scan area</t>
  </si>
  <si>
    <t>Main source : 104 x 86 pixels
2nd source : 80x80 pixels</t>
  </si>
  <si>
    <t>104 x 86 pixels</t>
  </si>
  <si>
    <t>False  Rejection Rate</t>
  </si>
  <si>
    <t>FRR=≤ 3%</t>
  </si>
  <si>
    <t xml:space="preserve">RR=≤ 3% @ 1:100K </t>
  </si>
  <si>
    <t>False Acceptance Rate</t>
  </si>
  <si>
    <t>Main source : FAR 1/100K
2nd source : &lt; 0.001%</t>
  </si>
  <si>
    <t>Mobile Voltage Operation</t>
  </si>
  <si>
    <t>Main source : 3.0V to 3.6V
2nd source : 2.7V~3.6V</t>
  </si>
  <si>
    <t>3.0V to 3.6V</t>
  </si>
  <si>
    <t>Main source : 0°C~60°C
2nd source : -20°C - +80°C</t>
  </si>
  <si>
    <t> 14° – 167°F (-10°-75°C)</t>
  </si>
  <si>
    <t>Current Consumption Image</t>
  </si>
  <si>
    <t>Main source : 100mA max
2nd source : 35mA peak</t>
  </si>
  <si>
    <t>36mA peak</t>
  </si>
  <si>
    <t>Low Latency Wait For Finger</t>
  </si>
  <si>
    <t xml:space="preserve">Main source : 260uA
2nd source : 300uA </t>
  </si>
  <si>
    <t>950 uA</t>
  </si>
  <si>
    <t>Capture Rate</t>
  </si>
  <si>
    <t>Main source : Image transmitter output frequency 9.6MHz
2nd source : 50 frame/sec</t>
  </si>
  <si>
    <t>Capture Rate: 30 cm/sec</t>
  </si>
  <si>
    <t>ESD Resistance</t>
  </si>
  <si>
    <t>IEC 61000-4-2 4B (+15KV)</t>
  </si>
  <si>
    <t>Detection Matrix</t>
  </si>
  <si>
    <t>Main source : 363 dpi / 7.4x6mm sensor area
2nd source : 508 dpi / 4x4mm sensor area</t>
  </si>
  <si>
    <t>200*1 (Plus another secondary line) / 508 dpi / 10mm sensor area</t>
  </si>
  <si>
    <t>HP Fingerprint Sensor sold separately or as an optional feature.</t>
  </si>
  <si>
    <t>For Datasheet Online</t>
  </si>
  <si>
    <t>Environmental Data</t>
  </si>
  <si>
    <t>Content
sign-off</t>
  </si>
  <si>
    <t>Eco-Label Certifications &amp; declarations</t>
  </si>
  <si>
    <t>This product has received or is in the process of being certified to the following approvals and may be labeled with one or more of these marks:
• IT ECO declaration
• US ENERGY STAR®
• EPEAT® Gold registered in the United States. See http://www.epeat.net for registration status in your country.</t>
  </si>
  <si>
    <t>Env Team</t>
  </si>
  <si>
    <t xml:space="preserve">Sustainable Impact Specifications </t>
  </si>
  <si>
    <t xml:space="preserve">• Ocean-bound plastic in (part(s))
• x% post-consumer recycled plastic 
• External Power Supply 90% Efficiency                                                                                                     • Low halogen
• Outside Box and corrugated cushions are 100% sustainably sourced and recyclable
• Molded Paper Pulp Cushion inside box is 100% sustainably sourced and recyclable          • Recycled Plastic cushions </t>
  </si>
  <si>
    <t>System Configuration</t>
  </si>
  <si>
    <t>The configuration used for the Energy Consumption and Declared Noise Emissions data for the Notebook model is based on a “Typically Configured Notebook”.</t>
  </si>
  <si>
    <t>Energy Consumption
(in accordance with US ENERGY STAR® test method)</t>
  </si>
  <si>
    <t>115VAC, 60Hz</t>
  </si>
  <si>
    <t>230VAC, 50Hz</t>
  </si>
  <si>
    <t>100VAC, 60Hz</t>
  </si>
  <si>
    <t>Normal Operation (Short idle)</t>
  </si>
  <si>
    <t>Normal Operation (Long idle)</t>
  </si>
  <si>
    <t>Sleep</t>
  </si>
  <si>
    <t>Off</t>
  </si>
  <si>
    <t xml:space="preserve">Note:  </t>
  </si>
  <si>
    <t xml:space="preserve">Energy efficiency data listed is for an ENERGY STAR® compliant product if offered within the model family. HP computers marked with the ENERGY STAR® Logo are compliant with the applicable U.S. Environmental Protection Agency (EPA) ENERGY STAR® specifications for computers. If a model family does not offer ENERGY STAR® compliant configurations, then energy efficiency data listed is for a typically configured PC featuring a hard disk drive, a high efficiency power supply, and a Microsoft Windows® operating system. </t>
  </si>
  <si>
    <t>Heat Dissipation*</t>
  </si>
  <si>
    <t>NOTE:</t>
  </si>
  <si>
    <t>Heat dissipation is calculated based on the measured watts, assuming the service level is attained for one hour.</t>
  </si>
  <si>
    <t>Declared Noise Emissions (in accordance with ISO 7779 and ISO 9296)</t>
  </si>
  <si>
    <t>Sound Power
(LWAd, bels)</t>
  </si>
  <si>
    <t>Sound Pressure
(LpAm, decibels)</t>
  </si>
  <si>
    <t>Typically Configured – Idle</t>
  </si>
  <si>
    <t>Fixed Disk – Random writes</t>
  </si>
  <si>
    <t>Longevity and Upgrading</t>
  </si>
  <si>
    <r>
      <t xml:space="preserve">This product can be upgraded, possibly extending its useful life by several years.  Upgradeable features and/or components contained in the product may include:
</t>
    </r>
    <r>
      <rPr>
        <sz val="11"/>
        <color rgb="FFFF0000"/>
        <rFont val="Calibri"/>
        <family val="2"/>
        <scheme val="minor"/>
      </rPr>
      <t>• 3 USB ports
• 1 PC card slot (type I/II) 
• 1 ExpressCard/54 slot
• 1 IEEE 1394 Port
• 2 SODIMM memory slots
• Optional expansion base docking station
• 1 multi-bay II storage port
• Interchangeable HDD</t>
    </r>
    <r>
      <rPr>
        <sz val="11"/>
        <color theme="1"/>
        <rFont val="Calibri"/>
        <family val="2"/>
        <scheme val="minor"/>
      </rPr>
      <t xml:space="preserve">
Spare parts are available throughout the warranty period and or for up to “5” years after the end of production.</t>
    </r>
  </si>
  <si>
    <t>Batteries</t>
  </si>
  <si>
    <t>This battery(s) in this product comply with EU Directive 2006/66/EC
Batteries used in the product do not contain:
Mercury greater the1ppm by weight
Cadmium greater than 20ppm by weight
Battery size: CR2032 (coin cell)
Battery type: Lithium</t>
  </si>
  <si>
    <t>Additional Information</t>
  </si>
  <si>
    <t>• This product is in compliance with the Restrictions of Hazardous Substances (RoHS) directive  - 2011/65/EC.
• This HP product is designed to comply with the Waste Electrical and Electronic Equipment (WEEE) Directive – 2002/96/EC.
• This product is in compliance with California Proposition 65 (State of California; Safe Drinking Water and Toxic Enforcement Act of 1986).
• This product is in compliance with the IEEE 1680 (EPEAT) standard at the &lt;gold&gt; level, see www.epeat.net 
• Plastics parts weighing over 25 grams used in the product are marked per ISO11469 and ISO1043.
• This product is 95.1% recycle-able when properly disposed of at end of life.</t>
  </si>
  <si>
    <t>Packaging Materials</t>
  </si>
  <si>
    <t xml:space="preserve">External: </t>
  </si>
  <si>
    <t>PAPER/Corrugated</t>
  </si>
  <si>
    <t>Internal:</t>
  </si>
  <si>
    <t>PLASTIC/EPE (Expanded Polyethylene)</t>
  </si>
  <si>
    <t>PLASTIC/Polyethylene low density</t>
  </si>
  <si>
    <t>Material Usage</t>
  </si>
  <si>
    <t>This product does not contain any of the following substances in excess of regulatory limits (refer to the HP General Specification for the Environment at http://www.hp.com/hpinfo/globalcitizenship/environment/pdf/gse.pdf):
• Asbestos 
• Certain Azo Colorants 
• Certain Brominated Flame Retardants – may not be used as flame retardants in plastics
• Cadmium 
• Chlorinated Hydrocarbons 
• Chlorinated Paraffins 
• Formaldehyde 
• Halogenated Diphenyl Methanes 
• Lead carbonates and sulfates 
• Lead and Lead compounds 
• Mercuric Oxide Batteries 
• Nickel – finishes must not be used on the external surface designed to be frequently handled or carried by the user.
• Ozone Depleting Substances 
• Polybrominated Biphenyls (PBBs)
• Polybrominated Biphenyl Ethers (PBBEs)
• Polybrominated Biphenyl Oxides (PBBOs) 
• Polychlorinated Biphenyl (PCB)
• Polychlorinated Terphenyls (PCT) 
• Polyvinyl Chloride (PVC) – except for wires and cables, and certain retail packaging has been voluntarily removed from most applications.
• Radioactive Substances 
• Tributyl Tin (TBT), Triphenyl Tin (TPT), Tributyl Tin Oxide (TBTO)</t>
  </si>
  <si>
    <t>Packaging Usage</t>
  </si>
  <si>
    <t xml:space="preserve">HP follows these guidelines to decrease the environmental impact of product packaging: 
• Eliminate the use of heavy metals such as lead, chromium, mercury and cadmium in packaging materials. 
• Eliminate the use of ozone-depleting substances (ODS) in packaging materials. 
• Design packaging materials for ease of disassembly. 
• Maximize the use of post-consumer recycled content materials in packaging materials. 
• Use readily recyclable packaging materials such as paper and corrugated materials. 
• Reduce size and weight of packages to improve transportation fuel efficiency.
• Plastic packaging materials are marked according to ISO 11469 and DIN 6120 standards. </t>
  </si>
  <si>
    <t>End-of-life Management and Recycling</t>
  </si>
  <si>
    <t>HP Inc. offers end-of-life HP product return and recycling programs in many geographic areas. To recycle your product, please go to: http://www.hp.com/go/reuse-recycle or contact your nearest HP sales office. Products returned to HP will be recycled, recovered or disposed of in a responsible manner.
The EU WEEE directive (2002/95/EC) requires manufacturers to provide treatment information for each product type for use by treatment facilities.  This information (product disassembly instructions) is posted on the Hewlett Packard web site at:  http://www.hp.com/go/recyclers.  These instructions may be used by recyclers and other WEEE treatment facilities as well as HP OEM customers who integrate and re-sell HP equipment.</t>
  </si>
  <si>
    <t>HP Inc. Corporate Environmental Information</t>
  </si>
  <si>
    <t>For more information about HP’s commitment to the environment:
Global Citizenship Report 
http://www.hp.com/hpinfo/globalcitizenship/gcreport/index.html
Eco-label certifications
http://www8.hp.com/us/en/hp-information/environment/ecolabels.html
ISO 14001 certificates:
http://www.hp.com/hpinfo/globalcitizenship/environment/pdf/PC_GBU_Product_Design_ISO_14K_Certificate.pdf
and
http://www.hp.com/hpinfo/globalcitizenship/environment/pdf/cert.pdf</t>
  </si>
  <si>
    <t>Percentage of ocean-bound plastic contained in each component varies by product</t>
  </si>
  <si>
    <t xml:space="preserve">External power supplies, WWAN modules, power cords, cables and peripherals excluded. </t>
  </si>
  <si>
    <t xml:space="preserve">100% outer box packaging and corrugated cushions made from sustainably sourced certified and recycled fibers. </t>
  </si>
  <si>
    <t xml:space="preserve">Fiber cushions made from 100% recycled wood fiber and organic materials. </t>
  </si>
  <si>
    <t>Category</t>
  </si>
  <si>
    <t>Description</t>
  </si>
  <si>
    <t>Part Number</t>
  </si>
  <si>
    <t>HP Wired USB-A Stereo Headset</t>
  </si>
  <si>
    <t>428K6AA</t>
  </si>
  <si>
    <t>Options Lead</t>
  </si>
  <si>
    <t>HP Wired 3.5mm Stereo Headset</t>
  </si>
  <si>
    <t>428K7AA</t>
  </si>
  <si>
    <t>HP 365 BT Speaker</t>
  </si>
  <si>
    <t>567D3AA#ACJ</t>
  </si>
  <si>
    <t>Video</t>
  </si>
  <si>
    <t>HP 325 FHD USB-A Webcam</t>
  </si>
  <si>
    <t>53X27AA</t>
  </si>
  <si>
    <t>HP 965 4K USB-A STR Webcam</t>
  </si>
  <si>
    <t>695J5AA</t>
  </si>
  <si>
    <t>Docking</t>
  </si>
  <si>
    <t>4J0A2AA</t>
  </si>
  <si>
    <t>HP Thunderbolt 280W Dock</t>
  </si>
  <si>
    <t>4J0G4AA</t>
  </si>
  <si>
    <t>5TW10AA</t>
  </si>
  <si>
    <t>HP USB-C/A Universal G2 Dock</t>
  </si>
  <si>
    <t>5TW13AA</t>
  </si>
  <si>
    <t>Cases</t>
  </si>
  <si>
    <t>HP Renew Business 17.3  Laptop Backpack</t>
  </si>
  <si>
    <t>3E2U5AA</t>
  </si>
  <si>
    <t xml:space="preserve">HP Renew Business 17.3  Laptop Bag </t>
  </si>
  <si>
    <t>3E2U6AA</t>
  </si>
  <si>
    <t>HP Renew Executive 16  Laptop Backpack</t>
  </si>
  <si>
    <t>6B8Y1AA</t>
  </si>
  <si>
    <t>HP Renew Executive 16  Laptop Bag</t>
  </si>
  <si>
    <t>6B8Y2AA</t>
  </si>
  <si>
    <t>Hub</t>
  </si>
  <si>
    <t>HP 4K USB-C Multiport Hub</t>
  </si>
  <si>
    <t>6G842AA</t>
  </si>
  <si>
    <t xml:space="preserve">HP Universal USB-C Multiport Hub </t>
  </si>
  <si>
    <t>50H55AA</t>
  </si>
  <si>
    <t>HP USB-C Travel Dock G2</t>
  </si>
  <si>
    <t>7PJ38AA</t>
  </si>
  <si>
    <t xml:space="preserve">HP USB-C to USB-A Hub </t>
  </si>
  <si>
    <t>Z6A00AA</t>
  </si>
  <si>
    <t xml:space="preserve">Adapter </t>
  </si>
  <si>
    <t>HP USB-C to RJ45 Adapter G2</t>
  </si>
  <si>
    <t>4Z527AA</t>
  </si>
  <si>
    <t>HP USB 3.0 to Gigabit RJ45 Adapter G2</t>
  </si>
  <si>
    <t>4Z7Z7AA</t>
  </si>
  <si>
    <t xml:space="preserve">HP HDMI to VGA Adapter </t>
  </si>
  <si>
    <t>H4F02AA</t>
  </si>
  <si>
    <t xml:space="preserve">HP USB-C to DisplayPort Adapter </t>
  </si>
  <si>
    <t>N9K78AA</t>
  </si>
  <si>
    <t xml:space="preserve">HP USB-C to HDMI 2.0 Adapter </t>
  </si>
  <si>
    <t>1WC36AA</t>
  </si>
  <si>
    <t>HP USB-C to USB 3.0 Adapter</t>
  </si>
  <si>
    <t>N2Z63AA</t>
  </si>
  <si>
    <t xml:space="preserve">HP USB-C to VGA Adapter </t>
  </si>
  <si>
    <t>N9K76AA</t>
  </si>
  <si>
    <t>Keyboard/Combo</t>
  </si>
  <si>
    <t xml:space="preserve">HP 125 WD USB Keyboard </t>
  </si>
  <si>
    <t>266C9AA</t>
  </si>
  <si>
    <t>HP 320K WD USB Keyboard</t>
  </si>
  <si>
    <t>9SR37AA</t>
  </si>
  <si>
    <t>HP 355 Compact Multi-Device BT Keyboard</t>
  </si>
  <si>
    <t>692S9AA</t>
  </si>
  <si>
    <t>HP 455 Programmable Wireless Keyboard</t>
  </si>
  <si>
    <t>4R177AA</t>
  </si>
  <si>
    <t>HP 975 USB+BT  Dual-Mode Wireless Keyboard</t>
  </si>
  <si>
    <t>3Z726AA</t>
  </si>
  <si>
    <t>HP 155 Wired Mouse and Keyboard Combo</t>
  </si>
  <si>
    <t>5B8C0AA#ACJ</t>
  </si>
  <si>
    <t>HP 225 Antimicrobial Wired Mouse and Keyboard Combo</t>
  </si>
  <si>
    <t>286K3AA#AB2</t>
  </si>
  <si>
    <t xml:space="preserve">HP 225 Wired Mouse and Keyboard Combo </t>
  </si>
  <si>
    <t>286J4AA</t>
  </si>
  <si>
    <t xml:space="preserve">HP 235 Wireless Mouse and Keyboard Combo </t>
  </si>
  <si>
    <t>1Y4D0AA</t>
  </si>
  <si>
    <t>HP 655 Wireless Keyboard and Mouse Combo</t>
  </si>
  <si>
    <t>4R009AA</t>
  </si>
  <si>
    <t>HP Wired Desktop 320MK Mouse and Keyboard</t>
  </si>
  <si>
    <t>9SR36AA</t>
  </si>
  <si>
    <t>HP Wireless Rechargeable 950MK Mouse and Keyboard</t>
  </si>
  <si>
    <t>3M165AA</t>
  </si>
  <si>
    <t>Mouse</t>
  </si>
  <si>
    <t>HP 125 USB-A Wired  Mouse</t>
  </si>
  <si>
    <t>265A9AA</t>
  </si>
  <si>
    <t>HP 128 USB Laser Wired  Mouse</t>
  </si>
  <si>
    <t>265D9AA</t>
  </si>
  <si>
    <t>HP 155 USB-A Wired  Mouse</t>
  </si>
  <si>
    <t>5B8B7AA#ACJ</t>
  </si>
  <si>
    <t>HP 235 Wireless 2.4GHz Slim Wireless Mouse</t>
  </si>
  <si>
    <t>4E407AA</t>
  </si>
  <si>
    <t>HP 320M USB-A Wired  Mouse</t>
  </si>
  <si>
    <t>9VA80AA</t>
  </si>
  <si>
    <t>HP 435 Bluetooth 5.0 + Wireless 2.4GHz Multi-Device Wireless Mouse</t>
  </si>
  <si>
    <t>3B4Q5AA</t>
  </si>
  <si>
    <t>HP 715 Rechargeable Multi-Device Bluetooth 5.0 + Wireless 2.4GHz Bluetooth Mouse</t>
  </si>
  <si>
    <t>6E6F0AA</t>
  </si>
  <si>
    <t>HP 925 Ergonomic Vertical Bluetooth 5.0 + Wireless 2.4GHz Wireless Mouse</t>
  </si>
  <si>
    <t>6H1A5AA</t>
  </si>
  <si>
    <t>HP Creator USB-A+Bluetooth 935 Wireless Mouse Black</t>
  </si>
  <si>
    <t>1D0K8AA</t>
  </si>
  <si>
    <t>HP USB Premium Wireless Mouse</t>
  </si>
  <si>
    <t>1JR31AA</t>
  </si>
  <si>
    <t>HP USB-A+Bluetooth Multi-Device 635 Wireless Mouse Black</t>
  </si>
  <si>
    <t>1D0K2AA</t>
  </si>
  <si>
    <t>HP USB-A+Bluetooth Travel Bluetooth Mouse</t>
  </si>
  <si>
    <t>6SP30AA</t>
  </si>
  <si>
    <t>HP 65W GaN USB-C Laptop Charger</t>
  </si>
  <si>
    <t>600Q7AA</t>
  </si>
  <si>
    <t>HP 65W USB-C Laptop Charger</t>
  </si>
  <si>
    <t>671R3AA</t>
  </si>
  <si>
    <t xml:space="preserve">HP 65W USB-C LC AC Power Adapter </t>
  </si>
  <si>
    <t>1P3K6AA</t>
  </si>
  <si>
    <t>Commodity</t>
  </si>
  <si>
    <t xml:space="preserve">HP USB DVD-Writer EXT ODD </t>
  </si>
  <si>
    <t>F2B56AA</t>
  </si>
  <si>
    <t>HP Nano Keyed Cable Lock</t>
  </si>
  <si>
    <t>1AJ39AA</t>
  </si>
  <si>
    <t xml:space="preserve">HP Nano Master Keyed Cable Lock </t>
  </si>
  <si>
    <t>1AJ40AA</t>
  </si>
  <si>
    <t>HP SureKey Standard/Nano/Wedge Cable Lock</t>
  </si>
  <si>
    <t>6UW42AA</t>
  </si>
  <si>
    <t>HP Combination Nano Cable Lock</t>
  </si>
  <si>
    <t>63B28AA</t>
  </si>
  <si>
    <t>HP Essential Combination Nano Cable Lock</t>
  </si>
  <si>
    <t>63B31AA</t>
  </si>
  <si>
    <t>40.6 cm (16") diagonal, WUXGA (1920 x 1200), IPS, anti-glare, 250 nits, 45% NTSC</t>
  </si>
  <si>
    <t>40.6 cm (16") diagonal, WUXGA (1920 x 1200), IPS, anti-glare, 400 nits, low power, 100% sRGB with HP Eye Ease</t>
  </si>
  <si>
    <t>40.6 cm (16") diagonal, WUXGA (1920 x 1200), touch, IPS, anti-glare, 250 nits, 45% NTSC</t>
  </si>
  <si>
    <t>40.6 cm (16") diagonal, WUXGA (1920 x 1200), IPS, anti-glare, 1000 nits, 100% sRGB, HP Sure View Reflect integrated privacy screen with HP Eye 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</si>
</sst>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m/d;@"/>
  </numFmts>
  <fonts count="44">
    <font>
      <sz val="11"/>
      <color theme="1"/>
      <name val="Calibri"/>
      <family val="2"/>
      <scheme val="minor"/>
    </font>
    <font>
      <sz val="11"/>
      <color rgb="FFFF0000"/>
      <name val="Calibri"/>
      <family val="2"/>
      <scheme val="minor"/>
    </font>
    <font>
      <sz val="11"/>
      <color theme="0" tint="-0.499984740745262"/>
      <name val="Calibri"/>
      <family val="2"/>
      <scheme val="minor"/>
    </font>
    <font>
      <sz val="11"/>
      <color theme="0"/>
      <name val="Calibri"/>
      <family val="2"/>
      <scheme val="minor"/>
    </font>
    <font>
      <b/>
      <sz val="11"/>
      <color theme="0"/>
      <name val="Calibri"/>
      <family val="2"/>
      <scheme val="minor"/>
    </font>
    <font>
      <sz val="10"/>
      <color theme="1"/>
      <name val="HP Simplified"/>
      <family val="2"/>
    </font>
    <font>
      <sz val="11"/>
      <color rgb="FFFFFFFF"/>
      <name val="Calibri"/>
      <family val="2"/>
      <scheme val="minor"/>
    </font>
    <font>
      <sz val="11"/>
      <name val="Calibri"/>
      <family val="2"/>
      <scheme val="minor"/>
    </font>
    <font>
      <sz val="9"/>
      <name val="Calibri"/>
      <family val="3"/>
      <charset val="136"/>
      <scheme val="minor"/>
    </font>
    <font>
      <b/>
      <sz val="11"/>
      <color theme="1"/>
      <name val="Calibri"/>
      <family val="2"/>
      <scheme val="minor"/>
    </font>
    <font>
      <b/>
      <sz val="11"/>
      <name val="Calibri"/>
      <family val="2"/>
      <scheme val="minor"/>
    </font>
    <font>
      <sz val="11"/>
      <color theme="1"/>
      <name val="Calibri"/>
      <family val="2"/>
      <scheme val="minor"/>
    </font>
    <font>
      <sz val="10"/>
      <color theme="1"/>
      <name val="Arial"/>
      <family val="2"/>
    </font>
    <font>
      <sz val="10"/>
      <name val="Arial"/>
      <family val="2"/>
    </font>
    <font>
      <b/>
      <sz val="11"/>
      <color rgb="FFFF0000"/>
      <name val="Calibri"/>
      <family val="2"/>
      <scheme val="minor"/>
    </font>
    <font>
      <b/>
      <sz val="10"/>
      <name val="Calibri"/>
      <family val="2"/>
      <scheme val="minor"/>
    </font>
    <font>
      <b/>
      <sz val="11"/>
      <color theme="0" tint="-0.499984740745262"/>
      <name val="Calibri"/>
      <family val="2"/>
      <scheme val="minor"/>
    </font>
    <font>
      <b/>
      <sz val="15"/>
      <color theme="1"/>
      <name val="Calibri"/>
      <family val="2"/>
      <scheme val="minor"/>
    </font>
    <font>
      <b/>
      <sz val="10"/>
      <color theme="0"/>
      <name val="Calibri"/>
      <family val="2"/>
      <scheme val="minor"/>
    </font>
    <font>
      <sz val="11"/>
      <color rgb="FFFF0000"/>
      <name val="Calibri Regular"/>
      <charset val="1"/>
    </font>
    <font>
      <sz val="11"/>
      <color theme="1"/>
      <name val="Calibri Regular"/>
      <charset val="1"/>
    </font>
    <font>
      <sz val="11"/>
      <color theme="1"/>
      <name val="Cambria"/>
      <family val="1"/>
    </font>
    <font>
      <sz val="11"/>
      <color rgb="FFFF0000"/>
      <name val="Cambria"/>
      <family val="1"/>
    </font>
    <font>
      <sz val="10"/>
      <color rgb="FFFF0000"/>
      <name val="Cambria"/>
      <family val="1"/>
    </font>
    <font>
      <b/>
      <sz val="11"/>
      <color theme="1"/>
      <name val="Calibri Regular"/>
      <charset val="1"/>
    </font>
    <font>
      <b/>
      <sz val="11"/>
      <color rgb="FF000000"/>
      <name val="Calibri"/>
      <family val="2"/>
      <scheme val="minor"/>
    </font>
    <font>
      <b/>
      <sz val="12"/>
      <color theme="1"/>
      <name val="Calibri"/>
      <family val="2"/>
      <scheme val="minor"/>
    </font>
    <font>
      <sz val="11"/>
      <color rgb="FF000000"/>
      <name val="Calibri"/>
      <family val="2"/>
    </font>
    <font>
      <b/>
      <sz val="11"/>
      <color rgb="FF000000"/>
      <name val="Calibri"/>
      <family val="2"/>
    </font>
    <font>
      <b/>
      <sz val="12"/>
      <name val="Calibri"/>
      <family val="2"/>
    </font>
    <font>
      <sz val="11"/>
      <color rgb="FF000000"/>
      <name val="Calibri"/>
      <family val="2"/>
      <scheme val="minor"/>
    </font>
    <font>
      <vertAlign val="superscript"/>
      <sz val="11"/>
      <color rgb="FF000000"/>
      <name val="Calibri"/>
      <family val="2"/>
      <scheme val="minor"/>
    </font>
    <font>
      <b/>
      <sz val="11"/>
      <color rgb="FFFFFFFF"/>
      <name val="Calibri"/>
      <family val="2"/>
    </font>
    <font>
      <sz val="11"/>
      <color rgb="FFFFFFFF"/>
      <name val="Calibri"/>
      <family val="2"/>
    </font>
    <font>
      <sz val="11"/>
      <color rgb="FFFF0000"/>
      <name val="Calibri"/>
      <family val="2"/>
    </font>
    <font>
      <sz val="11"/>
      <color rgb="FF000000"/>
      <name val="Wingdings"/>
      <family val="2"/>
      <charset val="2"/>
    </font>
    <font>
      <vertAlign val="superscript"/>
      <sz val="11"/>
      <name val="Calibri"/>
      <family val="2"/>
    </font>
    <font>
      <sz val="11"/>
      <name val="Calibri"/>
      <family val="2"/>
    </font>
    <font>
      <sz val="11"/>
      <color rgb="FF000000"/>
      <name val="新細明體"/>
      <family val="2"/>
    </font>
    <font>
      <sz val="10"/>
      <color theme="1"/>
      <name val="HP Simplified"/>
      <family val="2"/>
      <charset val="1"/>
    </font>
    <font>
      <sz val="11"/>
      <color rgb="FF000000"/>
      <name val="新細明體"/>
      <family val="1"/>
    </font>
    <font>
      <sz val="11"/>
      <color theme="8" tint="-0.249977111117893"/>
      <name val="Calibri"/>
      <family val="2"/>
      <scheme val="minor"/>
    </font>
    <font>
      <sz val="11"/>
      <color theme="9" tint="-0.249977111117893"/>
      <name val="Calibri"/>
      <family val="2"/>
      <scheme val="minor"/>
    </font>
    <font>
      <sz val="11"/>
      <color theme="5" tint="-0.249977111117893"/>
      <name val="Calibri"/>
      <family val="2"/>
      <scheme val="minor"/>
    </font>
  </fonts>
  <fills count="33">
    <fill>
      <patternFill patternType="none"/>
    </fill>
    <fill>
      <patternFill patternType="gray125"/>
    </fill>
    <fill>
      <patternFill patternType="solid">
        <fgColor theme="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rgb="FF92D050"/>
        <bgColor indexed="64"/>
      </patternFill>
    </fill>
    <fill>
      <patternFill patternType="solid">
        <fgColor theme="4"/>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FFC000"/>
        <bgColor indexed="64"/>
      </patternFill>
    </fill>
    <fill>
      <patternFill patternType="solid">
        <fgColor theme="5"/>
        <bgColor indexed="64"/>
      </patternFill>
    </fill>
    <fill>
      <patternFill patternType="solid">
        <fgColor theme="7"/>
        <bgColor indexed="64"/>
      </patternFill>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theme="0" tint="-0.14999847407452621"/>
        <bgColor indexed="64"/>
      </patternFill>
    </fill>
    <fill>
      <patternFill patternType="solid">
        <fgColor rgb="FFA6A6A6"/>
        <bgColor indexed="64"/>
      </patternFill>
    </fill>
    <fill>
      <patternFill patternType="solid">
        <fgColor rgb="FFFFFF00"/>
        <bgColor indexed="64"/>
      </patternFill>
    </fill>
    <fill>
      <patternFill patternType="solid">
        <fgColor rgb="FFD9D9D9"/>
        <bgColor indexed="64"/>
      </patternFill>
    </fill>
    <fill>
      <patternFill patternType="solid">
        <fgColor rgb="FFFFFFFF"/>
        <bgColor indexed="64"/>
      </patternFill>
    </fill>
    <fill>
      <patternFill patternType="solid">
        <fgColor rgb="FFFFC000"/>
        <bgColor rgb="FF000000"/>
      </patternFill>
    </fill>
    <fill>
      <patternFill patternType="solid">
        <fgColor rgb="FF1F4E78"/>
        <bgColor rgb="FF000000"/>
      </patternFill>
    </fill>
    <fill>
      <patternFill patternType="solid">
        <fgColor rgb="FF2F75B5"/>
        <bgColor rgb="FF000000"/>
      </patternFill>
    </fill>
    <fill>
      <patternFill patternType="solid">
        <fgColor rgb="FF92D050"/>
        <bgColor rgb="FF000000"/>
      </patternFill>
    </fill>
    <fill>
      <patternFill patternType="solid">
        <fgColor rgb="FF00B050"/>
        <bgColor rgb="FF000000"/>
      </patternFill>
    </fill>
    <fill>
      <patternFill patternType="solid">
        <fgColor rgb="FFA6A6A6"/>
        <bgColor rgb="FF000000"/>
      </patternFill>
    </fill>
    <fill>
      <patternFill patternType="solid">
        <fgColor rgb="FFDDEBF7"/>
        <bgColor rgb="FF000000"/>
      </patternFill>
    </fill>
    <fill>
      <patternFill patternType="solid">
        <fgColor rgb="FFBFBFBF"/>
        <bgColor rgb="FF000000"/>
      </patternFill>
    </fill>
    <fill>
      <patternFill patternType="solid">
        <fgColor rgb="FF9BC2E6"/>
        <bgColor rgb="FF000000"/>
      </patternFill>
    </fill>
    <fill>
      <patternFill patternType="solid">
        <fgColor rgb="FF00B0F0"/>
        <bgColor rgb="FF000000"/>
      </patternFill>
    </fill>
    <fill>
      <patternFill patternType="solid">
        <fgColor rgb="FFFFFFFF"/>
        <bgColor rgb="FF000000"/>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theme="0"/>
      </bottom>
      <diagonal/>
    </border>
    <border>
      <left style="medium">
        <color theme="0"/>
      </left>
      <right style="medium">
        <color theme="0"/>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medium">
        <color theme="0"/>
      </right>
      <top/>
      <bottom style="medium">
        <color theme="0"/>
      </bottom>
      <diagonal/>
    </border>
    <border>
      <left/>
      <right style="medium">
        <color theme="0"/>
      </right>
      <top/>
      <bottom style="medium">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rgb="FF000000"/>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diagonal/>
    </border>
    <border>
      <left/>
      <right style="thin">
        <color indexed="64"/>
      </right>
      <top/>
      <bottom/>
      <diagonal/>
    </border>
    <border>
      <left/>
      <right/>
      <top/>
      <bottom style="thin">
        <color indexed="64"/>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s>
  <cellStyleXfs count="5">
    <xf numFmtId="0" fontId="0" fillId="0" borderId="0"/>
    <xf numFmtId="0" fontId="12" fillId="0" borderId="0"/>
    <xf numFmtId="0" fontId="11" fillId="0" borderId="0"/>
    <xf numFmtId="0" fontId="13" fillId="0" borderId="0"/>
    <xf numFmtId="0" fontId="13" fillId="0" borderId="0"/>
  </cellStyleXfs>
  <cellXfs count="468">
    <xf numFmtId="0" fontId="0" fillId="0" borderId="0" xfId="0"/>
    <xf numFmtId="0" fontId="0" fillId="0" borderId="1" xfId="0" applyBorder="1"/>
    <xf numFmtId="0" fontId="3" fillId="2" borderId="1" xfId="0" applyFont="1" applyFill="1" applyBorder="1"/>
    <xf numFmtId="0" fontId="1" fillId="3" borderId="1" xfId="0" applyFont="1" applyFill="1" applyBorder="1" applyAlignment="1">
      <alignment horizontal="center" wrapText="1"/>
    </xf>
    <xf numFmtId="0" fontId="0" fillId="3" borderId="1" xfId="0" applyFill="1" applyBorder="1" applyAlignment="1">
      <alignment wrapText="1"/>
    </xf>
    <xf numFmtId="0" fontId="1" fillId="4" borderId="1" xfId="0" applyFont="1" applyFill="1" applyBorder="1" applyAlignment="1">
      <alignment horizontal="center" wrapText="1"/>
    </xf>
    <xf numFmtId="0" fontId="0" fillId="4" borderId="1" xfId="0" applyFill="1" applyBorder="1" applyAlignment="1">
      <alignment wrapText="1"/>
    </xf>
    <xf numFmtId="0" fontId="0" fillId="3" borderId="1" xfId="0" applyFill="1" applyBorder="1"/>
    <xf numFmtId="0" fontId="4" fillId="5" borderId="1" xfId="0" applyFont="1" applyFill="1" applyBorder="1" applyAlignment="1">
      <alignment wrapText="1"/>
    </xf>
    <xf numFmtId="0" fontId="3" fillId="6" borderId="1" xfId="0" applyFont="1" applyFill="1" applyBorder="1" applyAlignment="1">
      <alignment horizontal="center" wrapText="1"/>
    </xf>
    <xf numFmtId="0" fontId="3" fillId="6" borderId="1" xfId="0" applyFont="1" applyFill="1" applyBorder="1" applyAlignment="1">
      <alignment wrapText="1"/>
    </xf>
    <xf numFmtId="0" fontId="3" fillId="6" borderId="1" xfId="0" applyFont="1" applyFill="1" applyBorder="1"/>
    <xf numFmtId="0" fontId="4" fillId="8" borderId="1" xfId="0" applyFont="1" applyFill="1" applyBorder="1" applyAlignment="1">
      <alignment wrapText="1"/>
    </xf>
    <xf numFmtId="0" fontId="3" fillId="7" borderId="1" xfId="0" applyFont="1" applyFill="1" applyBorder="1" applyAlignment="1">
      <alignment horizontal="center" wrapText="1"/>
    </xf>
    <xf numFmtId="0" fontId="3" fillId="7" borderId="1" xfId="0" applyFont="1" applyFill="1" applyBorder="1" applyAlignment="1">
      <alignment wrapText="1"/>
    </xf>
    <xf numFmtId="0" fontId="3" fillId="7" borderId="1" xfId="0" applyFont="1" applyFill="1" applyBorder="1"/>
    <xf numFmtId="0" fontId="4" fillId="5"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3" fillId="2" borderId="0" xfId="0" applyFont="1" applyFill="1" applyAlignment="1">
      <alignment wrapText="1"/>
    </xf>
    <xf numFmtId="0" fontId="1" fillId="7" borderId="1" xfId="0" applyFont="1" applyFill="1" applyBorder="1" applyAlignment="1">
      <alignment horizontal="center" wrapText="1"/>
    </xf>
    <xf numFmtId="0" fontId="0" fillId="7" borderId="1" xfId="0" applyFill="1" applyBorder="1" applyAlignment="1">
      <alignment wrapText="1"/>
    </xf>
    <xf numFmtId="0" fontId="0" fillId="0" borderId="1" xfId="0" applyBorder="1" applyAlignment="1">
      <alignment wrapText="1"/>
    </xf>
    <xf numFmtId="0" fontId="0" fillId="9" borderId="1" xfId="0" applyFill="1" applyBorder="1"/>
    <xf numFmtId="0" fontId="0" fillId="0" borderId="1" xfId="0" applyBorder="1" applyAlignment="1">
      <alignment horizontal="left" vertical="top" wrapText="1"/>
    </xf>
    <xf numFmtId="0" fontId="0" fillId="0" borderId="1" xfId="0" applyBorder="1" applyAlignment="1">
      <alignment vertical="top" wrapText="1"/>
    </xf>
    <xf numFmtId="0" fontId="0" fillId="0" borderId="1" xfId="0" applyBorder="1" applyAlignment="1">
      <alignment vertical="top"/>
    </xf>
    <xf numFmtId="0" fontId="0" fillId="0" borderId="0" xfId="0" applyAlignment="1">
      <alignment horizontal="center"/>
    </xf>
    <xf numFmtId="0" fontId="2" fillId="0" borderId="0" xfId="0" applyFont="1" applyAlignment="1">
      <alignment horizontal="center"/>
    </xf>
    <xf numFmtId="0" fontId="4" fillId="5" borderId="1" xfId="0" applyFont="1" applyFill="1" applyBorder="1" applyAlignment="1">
      <alignment horizontal="center" wrapText="1"/>
    </xf>
    <xf numFmtId="0" fontId="4" fillId="8" borderId="1" xfId="0" applyFont="1" applyFill="1" applyBorder="1" applyAlignment="1">
      <alignment horizontal="center" wrapText="1"/>
    </xf>
    <xf numFmtId="0" fontId="0" fillId="10" borderId="1" xfId="0" applyFill="1" applyBorder="1"/>
    <xf numFmtId="0" fontId="6" fillId="0" borderId="0" xfId="0" applyFont="1" applyAlignment="1">
      <alignment horizontal="left" vertical="center"/>
    </xf>
    <xf numFmtId="0" fontId="0" fillId="0" borderId="1" xfId="0" applyBorder="1" applyAlignment="1">
      <alignment horizontal="left" vertical="top"/>
    </xf>
    <xf numFmtId="0" fontId="0" fillId="9" borderId="1" xfId="0" applyFill="1" applyBorder="1" applyAlignment="1">
      <alignment wrapText="1"/>
    </xf>
    <xf numFmtId="0" fontId="0" fillId="10" borderId="1" xfId="0" applyFill="1" applyBorder="1" applyAlignment="1">
      <alignment wrapText="1"/>
    </xf>
    <xf numFmtId="0" fontId="0" fillId="10" borderId="1" xfId="0" applyFill="1" applyBorder="1" applyAlignment="1">
      <alignment vertical="top"/>
    </xf>
    <xf numFmtId="3" fontId="0" fillId="10" borderId="1" xfId="0" applyNumberFormat="1" applyFill="1" applyBorder="1" applyAlignment="1">
      <alignment horizontal="left"/>
    </xf>
    <xf numFmtId="0" fontId="0" fillId="10" borderId="1" xfId="0" applyFill="1" applyBorder="1" applyAlignment="1">
      <alignment horizontal="left" vertical="top" wrapText="1"/>
    </xf>
    <xf numFmtId="0" fontId="0" fillId="10" borderId="0" xfId="0" applyFill="1"/>
    <xf numFmtId="0" fontId="0" fillId="11" borderId="1" xfId="0" applyFill="1" applyBorder="1"/>
    <xf numFmtId="0" fontId="0" fillId="12" borderId="1" xfId="0" applyFill="1" applyBorder="1" applyAlignment="1">
      <alignment horizontal="center" vertical="center"/>
    </xf>
    <xf numFmtId="0" fontId="0" fillId="13" borderId="1" xfId="0" applyFill="1" applyBorder="1"/>
    <xf numFmtId="0" fontId="0" fillId="11" borderId="0" xfId="0" applyFill="1"/>
    <xf numFmtId="0" fontId="0" fillId="11" borderId="1" xfId="0" applyFill="1" applyBorder="1" applyAlignment="1">
      <alignment wrapText="1"/>
    </xf>
    <xf numFmtId="0" fontId="5" fillId="11" borderId="0" xfId="0" applyFont="1" applyFill="1" applyAlignment="1">
      <alignment horizontal="left" vertical="center" wrapText="1"/>
    </xf>
    <xf numFmtId="0" fontId="0" fillId="11" borderId="1" xfId="0" applyFill="1" applyBorder="1" applyAlignment="1">
      <alignment horizontal="left"/>
    </xf>
    <xf numFmtId="0" fontId="0" fillId="11" borderId="1" xfId="0" applyFill="1" applyBorder="1" applyAlignment="1">
      <alignment vertical="top" wrapText="1"/>
    </xf>
    <xf numFmtId="0" fontId="0" fillId="11" borderId="1" xfId="0" applyFill="1" applyBorder="1" applyAlignment="1">
      <alignment horizontal="left" vertical="top" wrapText="1"/>
    </xf>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4" fillId="5" borderId="1" xfId="0" applyFont="1" applyFill="1" applyBorder="1" applyAlignment="1">
      <alignment vertical="center" wrapText="1"/>
    </xf>
    <xf numFmtId="0" fontId="4" fillId="8" borderId="1" xfId="0" applyFont="1" applyFill="1" applyBorder="1" applyAlignment="1">
      <alignment vertical="center" wrapText="1"/>
    </xf>
    <xf numFmtId="0" fontId="0" fillId="0" borderId="1" xfId="0" applyBorder="1" applyAlignment="1">
      <alignment vertical="center"/>
    </xf>
    <xf numFmtId="0" fontId="3" fillId="6" borderId="1" xfId="0" applyFont="1" applyFill="1" applyBorder="1" applyAlignment="1">
      <alignment horizontal="center" vertical="center" wrapText="1"/>
    </xf>
    <xf numFmtId="0" fontId="3" fillId="6" borderId="1" xfId="0" applyFont="1" applyFill="1" applyBorder="1" applyAlignment="1">
      <alignment vertical="center" wrapText="1"/>
    </xf>
    <xf numFmtId="0" fontId="3" fillId="6" borderId="1" xfId="0" applyFont="1" applyFill="1" applyBorder="1" applyAlignment="1">
      <alignment vertical="center"/>
    </xf>
    <xf numFmtId="0" fontId="1"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3" fillId="7" borderId="1" xfId="0" applyFont="1" applyFill="1" applyBorder="1" applyAlignment="1">
      <alignment vertical="center"/>
    </xf>
    <xf numFmtId="0" fontId="1" fillId="4" borderId="1" xfId="0" applyFont="1" applyFill="1" applyBorder="1" applyAlignment="1">
      <alignment horizontal="center" vertical="center" wrapText="1"/>
    </xf>
    <xf numFmtId="0" fontId="0" fillId="4" borderId="1" xfId="0" applyFill="1" applyBorder="1" applyAlignment="1">
      <alignment vertical="center" wrapText="1"/>
    </xf>
    <xf numFmtId="0" fontId="0" fillId="10" borderId="1" xfId="0" applyFill="1" applyBorder="1" applyAlignment="1">
      <alignment vertical="center"/>
    </xf>
    <xf numFmtId="0" fontId="1" fillId="3" borderId="1" xfId="0" applyFont="1" applyFill="1"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0" fontId="0" fillId="10" borderId="1" xfId="0" applyFill="1" applyBorder="1" applyAlignment="1">
      <alignment vertical="center" wrapText="1"/>
    </xf>
    <xf numFmtId="0" fontId="7" fillId="13" borderId="1" xfId="0" applyFont="1" applyFill="1" applyBorder="1" applyAlignment="1">
      <alignment vertical="center" wrapText="1"/>
    </xf>
    <xf numFmtId="0" fontId="9" fillId="13" borderId="1" xfId="0" applyFont="1" applyFill="1" applyBorder="1" applyAlignment="1">
      <alignment vertical="center"/>
    </xf>
    <xf numFmtId="0" fontId="0" fillId="10" borderId="1" xfId="0" applyFill="1" applyBorder="1" applyAlignment="1">
      <alignment horizontal="left" vertical="center" wrapText="1"/>
    </xf>
    <xf numFmtId="0" fontId="0" fillId="0" borderId="1" xfId="0" applyBorder="1" applyAlignment="1">
      <alignment vertical="center" wrapText="1"/>
    </xf>
    <xf numFmtId="0" fontId="3" fillId="6" borderId="1" xfId="0" applyFont="1" applyFill="1" applyBorder="1" applyAlignment="1">
      <alignment horizontal="left" vertical="center" wrapText="1"/>
    </xf>
    <xf numFmtId="0" fontId="3" fillId="7" borderId="1" xfId="0" applyFont="1" applyFill="1" applyBorder="1" applyAlignment="1">
      <alignment horizontal="left" vertical="center" wrapText="1"/>
    </xf>
    <xf numFmtId="0" fontId="0" fillId="14" borderId="1" xfId="0" applyFill="1" applyBorder="1" applyAlignment="1">
      <alignment horizontal="left" vertical="top" wrapText="1"/>
    </xf>
    <xf numFmtId="0" fontId="3" fillId="9" borderId="1" xfId="0" applyFont="1" applyFill="1" applyBorder="1"/>
    <xf numFmtId="0" fontId="0" fillId="14" borderId="1" xfId="0" applyFill="1" applyBorder="1" applyAlignment="1">
      <alignment horizontal="center" vertical="center"/>
    </xf>
    <xf numFmtId="0" fontId="1" fillId="11" borderId="1" xfId="0" applyFont="1" applyFill="1" applyBorder="1" applyAlignment="1">
      <alignment horizontal="center" vertical="center"/>
    </xf>
    <xf numFmtId="0" fontId="0" fillId="14" borderId="1" xfId="0" applyFill="1" applyBorder="1" applyAlignment="1">
      <alignment horizontal="center" vertical="center" wrapText="1"/>
    </xf>
    <xf numFmtId="0" fontId="0" fillId="14" borderId="1" xfId="0" applyFill="1" applyBorder="1"/>
    <xf numFmtId="0" fontId="1" fillId="11" borderId="1" xfId="0" applyFont="1" applyFill="1" applyBorder="1"/>
    <xf numFmtId="0" fontId="9" fillId="0" borderId="1" xfId="0" applyFont="1" applyBorder="1" applyAlignment="1">
      <alignment horizontal="left" vertical="top" wrapText="1"/>
    </xf>
    <xf numFmtId="0" fontId="9" fillId="10" borderId="1" xfId="0" applyFont="1" applyFill="1" applyBorder="1" applyAlignment="1">
      <alignment wrapText="1"/>
    </xf>
    <xf numFmtId="0" fontId="1" fillId="9" borderId="1" xfId="0" applyFont="1" applyFill="1" applyBorder="1"/>
    <xf numFmtId="0" fontId="1" fillId="9" borderId="1" xfId="0" applyFont="1" applyFill="1" applyBorder="1" applyAlignment="1">
      <alignment wrapText="1"/>
    </xf>
    <xf numFmtId="0" fontId="7" fillId="9" borderId="1" xfId="0" applyFont="1" applyFill="1" applyBorder="1"/>
    <xf numFmtId="0" fontId="7" fillId="7" borderId="1" xfId="0" applyFont="1" applyFill="1" applyBorder="1" applyAlignment="1">
      <alignment wrapText="1"/>
    </xf>
    <xf numFmtId="0" fontId="7" fillId="3" borderId="1" xfId="0" applyFont="1" applyFill="1" applyBorder="1"/>
    <xf numFmtId="0" fontId="7" fillId="9" borderId="1" xfId="0" applyFont="1" applyFill="1" applyBorder="1" applyAlignment="1">
      <alignment wrapText="1"/>
    </xf>
    <xf numFmtId="0" fontId="7" fillId="0" borderId="1" xfId="0" applyFont="1" applyBorder="1"/>
    <xf numFmtId="0" fontId="0" fillId="10" borderId="1" xfId="0" quotePrefix="1" applyFill="1" applyBorder="1" applyAlignment="1">
      <alignment wrapText="1"/>
    </xf>
    <xf numFmtId="0" fontId="9" fillId="0" borderId="1" xfId="0" applyFont="1" applyBorder="1" applyAlignment="1">
      <alignment vertical="top" wrapText="1"/>
    </xf>
    <xf numFmtId="0" fontId="9" fillId="0" borderId="1" xfId="0" applyFont="1" applyBorder="1" applyAlignment="1">
      <alignment wrapText="1"/>
    </xf>
    <xf numFmtId="0" fontId="0" fillId="15" borderId="1" xfId="0" applyFill="1" applyBorder="1" applyAlignment="1">
      <alignment vertical="top" wrapText="1"/>
    </xf>
    <xf numFmtId="0" fontId="0" fillId="15" borderId="1" xfId="0" applyFill="1" applyBorder="1" applyAlignment="1">
      <alignment wrapText="1"/>
    </xf>
    <xf numFmtId="0" fontId="0" fillId="15" borderId="0" xfId="0" applyFill="1" applyAlignment="1">
      <alignment wrapText="1"/>
    </xf>
    <xf numFmtId="0" fontId="9" fillId="9" borderId="1" xfId="0" applyFont="1" applyFill="1" applyBorder="1" applyAlignment="1">
      <alignment wrapText="1"/>
    </xf>
    <xf numFmtId="0" fontId="9" fillId="9" borderId="1" xfId="0" applyFont="1" applyFill="1" applyBorder="1"/>
    <xf numFmtId="0" fontId="0" fillId="15" borderId="1" xfId="0" applyFill="1" applyBorder="1" applyAlignment="1">
      <alignment vertical="center" wrapText="1"/>
    </xf>
    <xf numFmtId="0" fontId="9" fillId="10" borderId="1" xfId="0" applyFont="1" applyFill="1" applyBorder="1" applyAlignment="1">
      <alignment vertical="center" wrapText="1"/>
    </xf>
    <xf numFmtId="0" fontId="9" fillId="9" borderId="1" xfId="0" applyFont="1" applyFill="1" applyBorder="1" applyAlignment="1">
      <alignment horizontal="left" vertical="top" wrapText="1"/>
    </xf>
    <xf numFmtId="0" fontId="9" fillId="15" borderId="1" xfId="0" applyFont="1" applyFill="1" applyBorder="1"/>
    <xf numFmtId="164" fontId="0" fillId="0" borderId="1" xfId="0" applyNumberFormat="1" applyBorder="1" applyAlignment="1">
      <alignment horizontal="right" vertical="center"/>
    </xf>
    <xf numFmtId="0" fontId="4" fillId="16" borderId="1" xfId="0" applyFont="1" applyFill="1" applyBorder="1"/>
    <xf numFmtId="164" fontId="0" fillId="0" borderId="1" xfId="0" applyNumberFormat="1" applyBorder="1" applyAlignment="1">
      <alignment horizontal="right"/>
    </xf>
    <xf numFmtId="0" fontId="14" fillId="0" borderId="0" xfId="0" applyFont="1"/>
    <xf numFmtId="49" fontId="10" fillId="15" borderId="6" xfId="0" applyNumberFormat="1" applyFont="1" applyFill="1" applyBorder="1" applyAlignment="1">
      <alignment horizontal="center" vertical="center"/>
    </xf>
    <xf numFmtId="49" fontId="4" fillId="0" borderId="7" xfId="0" applyNumberFormat="1" applyFont="1" applyBorder="1" applyAlignment="1">
      <alignment horizontal="center" vertical="center"/>
    </xf>
    <xf numFmtId="49" fontId="4" fillId="0" borderId="8" xfId="0" applyNumberFormat="1" applyFont="1" applyBorder="1" applyAlignment="1">
      <alignment horizontal="center" vertical="center"/>
    </xf>
    <xf numFmtId="49" fontId="15" fillId="15" borderId="9" xfId="0" applyNumberFormat="1" applyFont="1" applyFill="1" applyBorder="1" applyAlignment="1">
      <alignment horizontal="center" vertical="center" wrapText="1"/>
    </xf>
    <xf numFmtId="49" fontId="4" fillId="0" borderId="5" xfId="0" applyNumberFormat="1" applyFont="1" applyBorder="1" applyAlignment="1">
      <alignment horizontal="center" vertical="center"/>
    </xf>
    <xf numFmtId="49" fontId="4" fillId="0" borderId="10" xfId="0" applyNumberFormat="1" applyFont="1" applyBorder="1" applyAlignment="1">
      <alignment horizontal="center" vertical="center"/>
    </xf>
    <xf numFmtId="0" fontId="9" fillId="0" borderId="0" xfId="0" applyFont="1"/>
    <xf numFmtId="164" fontId="0" fillId="17" borderId="11" xfId="0" applyNumberFormat="1" applyFill="1" applyBorder="1" applyAlignment="1">
      <alignment horizontal="center" vertical="center"/>
    </xf>
    <xf numFmtId="164" fontId="0" fillId="0" borderId="11" xfId="0" applyNumberFormat="1" applyBorder="1" applyAlignment="1">
      <alignment horizontal="center" vertical="center"/>
    </xf>
    <xf numFmtId="164" fontId="1" fillId="17" borderId="12" xfId="0" applyNumberFormat="1" applyFont="1" applyFill="1" applyBorder="1"/>
    <xf numFmtId="164" fontId="0" fillId="0" borderId="12" xfId="0" applyNumberFormat="1" applyBorder="1"/>
    <xf numFmtId="14" fontId="0" fillId="0" borderId="0" xfId="0" applyNumberFormat="1"/>
    <xf numFmtId="165" fontId="0" fillId="0" borderId="0" xfId="0" applyNumberFormat="1"/>
    <xf numFmtId="49" fontId="18" fillId="16" borderId="6" xfId="0" applyNumberFormat="1" applyFont="1" applyFill="1" applyBorder="1" applyAlignment="1">
      <alignment horizontal="center" vertical="center"/>
    </xf>
    <xf numFmtId="49" fontId="18" fillId="16" borderId="9" xfId="0" applyNumberFormat="1" applyFont="1" applyFill="1" applyBorder="1" applyAlignment="1">
      <alignment horizontal="center" vertical="center" wrapText="1"/>
    </xf>
    <xf numFmtId="49" fontId="18" fillId="16" borderId="9" xfId="0" applyNumberFormat="1" applyFont="1" applyFill="1" applyBorder="1" applyAlignment="1">
      <alignment horizontal="center" vertical="center"/>
    </xf>
    <xf numFmtId="14" fontId="1" fillId="17" borderId="12" xfId="0" applyNumberFormat="1" applyFont="1" applyFill="1" applyBorder="1"/>
    <xf numFmtId="0" fontId="11" fillId="0" borderId="1" xfId="0" applyFont="1" applyBorder="1"/>
    <xf numFmtId="0" fontId="11" fillId="3" borderId="1" xfId="0" applyFont="1" applyFill="1" applyBorder="1"/>
    <xf numFmtId="0" fontId="11" fillId="11" borderId="1" xfId="0" applyFont="1" applyFill="1" applyBorder="1" applyAlignment="1">
      <alignment wrapText="1"/>
    </xf>
    <xf numFmtId="0" fontId="11" fillId="11" borderId="1" xfId="0" applyFont="1" applyFill="1" applyBorder="1" applyAlignment="1">
      <alignment horizontal="left" vertical="top" wrapText="1"/>
    </xf>
    <xf numFmtId="0" fontId="11" fillId="11" borderId="1" xfId="0" applyFont="1" applyFill="1" applyBorder="1"/>
    <xf numFmtId="0" fontId="11" fillId="11" borderId="1" xfId="0" quotePrefix="1" applyFont="1" applyFill="1" applyBorder="1" applyAlignment="1">
      <alignment horizontal="left" vertical="top" wrapText="1"/>
    </xf>
    <xf numFmtId="0" fontId="11" fillId="11" borderId="0" xfId="0" applyFont="1" applyFill="1"/>
    <xf numFmtId="0" fontId="3" fillId="2" borderId="1" xfId="0" applyFont="1" applyFill="1" applyBorder="1" applyAlignment="1">
      <alignment vertical="center" wrapText="1"/>
    </xf>
    <xf numFmtId="0" fontId="3" fillId="2" borderId="0" xfId="0" applyFont="1" applyFill="1" applyAlignment="1">
      <alignment vertical="center" wrapText="1"/>
    </xf>
    <xf numFmtId="0" fontId="3" fillId="2" borderId="1" xfId="0" applyFont="1" applyFill="1" applyBorder="1" applyAlignment="1">
      <alignment vertical="center"/>
    </xf>
    <xf numFmtId="0" fontId="3" fillId="2" borderId="2" xfId="0" applyFont="1" applyFill="1" applyBorder="1" applyAlignment="1">
      <alignment vertical="center" wrapText="1"/>
    </xf>
    <xf numFmtId="0" fontId="1" fillId="10" borderId="1" xfId="0" applyFont="1" applyFill="1" applyBorder="1" applyAlignment="1">
      <alignment wrapText="1"/>
    </xf>
    <xf numFmtId="0" fontId="0" fillId="14" borderId="1" xfId="0" applyFill="1" applyBorder="1" applyAlignment="1">
      <alignment vertical="center" wrapText="1"/>
    </xf>
    <xf numFmtId="0" fontId="1" fillId="0" borderId="1" xfId="0" applyFont="1" applyBorder="1"/>
    <xf numFmtId="0" fontId="21" fillId="18" borderId="1" xfId="0" applyFont="1" applyFill="1" applyBorder="1" applyAlignment="1">
      <alignment wrapText="1"/>
    </xf>
    <xf numFmtId="0" fontId="21" fillId="18" borderId="13" xfId="0" applyFont="1" applyFill="1" applyBorder="1" applyAlignment="1">
      <alignment wrapText="1"/>
    </xf>
    <xf numFmtId="0" fontId="23" fillId="18" borderId="0" xfId="0" applyFont="1" applyFill="1" applyAlignment="1">
      <alignment wrapText="1"/>
    </xf>
    <xf numFmtId="0" fontId="20" fillId="19" borderId="1" xfId="0" applyFont="1" applyFill="1" applyBorder="1" applyAlignment="1">
      <alignment wrapText="1"/>
    </xf>
    <xf numFmtId="0" fontId="20" fillId="19" borderId="13" xfId="0" applyFont="1" applyFill="1" applyBorder="1" applyAlignment="1">
      <alignment wrapText="1"/>
    </xf>
    <xf numFmtId="0" fontId="19" fillId="18" borderId="1" xfId="0" applyFont="1" applyFill="1" applyBorder="1" applyAlignment="1">
      <alignment wrapText="1"/>
    </xf>
    <xf numFmtId="0" fontId="19" fillId="18" borderId="13" xfId="0" applyFont="1" applyFill="1" applyBorder="1" applyAlignment="1">
      <alignment wrapText="1"/>
    </xf>
    <xf numFmtId="0" fontId="0" fillId="20" borderId="1" xfId="0" applyFill="1" applyBorder="1"/>
    <xf numFmtId="0" fontId="20" fillId="20" borderId="1" xfId="0" applyFont="1" applyFill="1" applyBorder="1" applyAlignment="1">
      <alignment wrapText="1"/>
    </xf>
    <xf numFmtId="0" fontId="20" fillId="20" borderId="13" xfId="0" applyFont="1" applyFill="1" applyBorder="1" applyAlignment="1">
      <alignment wrapText="1"/>
    </xf>
    <xf numFmtId="0" fontId="19" fillId="20" borderId="13" xfId="0" applyFont="1" applyFill="1" applyBorder="1" applyAlignment="1">
      <alignment wrapText="1"/>
    </xf>
    <xf numFmtId="0" fontId="20" fillId="0" borderId="15" xfId="0" applyFont="1" applyBorder="1" applyAlignment="1">
      <alignment wrapText="1"/>
    </xf>
    <xf numFmtId="0" fontId="20" fillId="0" borderId="14" xfId="0" applyFont="1" applyBorder="1" applyAlignment="1">
      <alignment wrapText="1"/>
    </xf>
    <xf numFmtId="0" fontId="20" fillId="0" borderId="16" xfId="0" applyFont="1" applyBorder="1" applyAlignment="1">
      <alignment wrapText="1"/>
    </xf>
    <xf numFmtId="0" fontId="4" fillId="5" borderId="1" xfId="0" applyFont="1" applyFill="1" applyBorder="1" applyAlignment="1">
      <alignment horizontal="left" vertical="center" wrapText="1"/>
    </xf>
    <xf numFmtId="0" fontId="0" fillId="3" borderId="1" xfId="0" applyFill="1" applyBorder="1" applyAlignment="1">
      <alignment horizontal="left" vertical="center" wrapText="1"/>
    </xf>
    <xf numFmtId="0" fontId="0" fillId="9" borderId="1" xfId="0" applyFill="1" applyBorder="1" applyAlignment="1">
      <alignment horizontal="left" vertical="center" wrapText="1"/>
    </xf>
    <xf numFmtId="0" fontId="7" fillId="10" borderId="1" xfId="0" applyFont="1" applyFill="1" applyBorder="1" applyAlignment="1">
      <alignment horizontal="left" vertical="center" wrapText="1"/>
    </xf>
    <xf numFmtId="0" fontId="0" fillId="21" borderId="1" xfId="0" applyFill="1" applyBorder="1" applyAlignment="1">
      <alignment wrapText="1"/>
    </xf>
    <xf numFmtId="0" fontId="0" fillId="21" borderId="1" xfId="0" applyFill="1" applyBorder="1" applyAlignment="1">
      <alignment horizontal="left" vertical="top" wrapText="1"/>
    </xf>
    <xf numFmtId="0" fontId="0" fillId="21" borderId="1" xfId="0" applyFill="1" applyBorder="1" applyAlignment="1">
      <alignment horizontal="left" wrapText="1"/>
    </xf>
    <xf numFmtId="0" fontId="20" fillId="18" borderId="13" xfId="0" applyFont="1" applyFill="1" applyBorder="1" applyAlignment="1">
      <alignment wrapText="1"/>
    </xf>
    <xf numFmtId="0" fontId="0" fillId="0" borderId="0" xfId="0" applyAlignment="1">
      <alignment horizontal="left" vertical="center" wrapText="1"/>
    </xf>
    <xf numFmtId="0" fontId="9" fillId="10" borderId="1" xfId="0" applyFont="1" applyFill="1" applyBorder="1" applyAlignment="1">
      <alignment horizontal="left" vertical="center" wrapText="1"/>
    </xf>
    <xf numFmtId="0" fontId="3" fillId="6" borderId="1" xfId="0" applyFont="1" applyFill="1" applyBorder="1" applyAlignment="1">
      <alignment horizontal="left" wrapText="1"/>
    </xf>
    <xf numFmtId="0" fontId="3" fillId="7" borderId="1" xfId="0" applyFont="1" applyFill="1" applyBorder="1" applyAlignment="1">
      <alignment horizontal="left" wrapText="1"/>
    </xf>
    <xf numFmtId="0" fontId="16" fillId="0" borderId="1" xfId="0" applyFont="1" applyBorder="1"/>
    <xf numFmtId="0" fontId="0" fillId="14" borderId="2" xfId="0" applyFill="1" applyBorder="1" applyAlignment="1">
      <alignment vertical="top" wrapText="1"/>
    </xf>
    <xf numFmtId="0" fontId="0" fillId="14" borderId="3" xfId="0" applyFill="1" applyBorder="1" applyAlignment="1">
      <alignment vertical="top" wrapText="1"/>
    </xf>
    <xf numFmtId="0" fontId="0" fillId="14" borderId="4" xfId="0" applyFill="1" applyBorder="1" applyAlignment="1">
      <alignment vertical="top" wrapText="1"/>
    </xf>
    <xf numFmtId="0" fontId="4" fillId="5" borderId="3" xfId="0" applyFont="1" applyFill="1" applyBorder="1" applyAlignment="1">
      <alignment vertical="center" wrapText="1"/>
    </xf>
    <xf numFmtId="0" fontId="4" fillId="5" borderId="4" xfId="0" applyFont="1" applyFill="1" applyBorder="1" applyAlignment="1">
      <alignment vertical="center" wrapText="1"/>
    </xf>
    <xf numFmtId="0" fontId="3" fillId="7" borderId="3" xfId="0" applyFont="1" applyFill="1" applyBorder="1" applyAlignment="1">
      <alignment vertical="center" wrapText="1"/>
    </xf>
    <xf numFmtId="0" fontId="3" fillId="7" borderId="4" xfId="0" applyFont="1" applyFill="1" applyBorder="1" applyAlignment="1">
      <alignment vertical="center" wrapText="1"/>
    </xf>
    <xf numFmtId="0" fontId="7" fillId="10" borderId="1" xfId="0" applyFont="1" applyFill="1" applyBorder="1" applyAlignment="1">
      <alignment horizontal="left" vertical="center"/>
    </xf>
    <xf numFmtId="0" fontId="7" fillId="10"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0" fillId="3" borderId="1" xfId="0" applyFill="1" applyBorder="1" applyAlignment="1">
      <alignment horizontal="center" vertical="center"/>
    </xf>
    <xf numFmtId="0" fontId="0" fillId="0" borderId="0" xfId="0" applyAlignment="1">
      <alignment vertical="center" wrapText="1"/>
    </xf>
    <xf numFmtId="0" fontId="0" fillId="0" borderId="1" xfId="0" applyBorder="1" applyAlignment="1">
      <alignment horizontal="center" vertical="center"/>
    </xf>
    <xf numFmtId="0" fontId="7" fillId="10" borderId="1" xfId="0" applyFont="1" applyFill="1" applyBorder="1" applyAlignment="1">
      <alignment horizontal="center" vertical="center"/>
    </xf>
    <xf numFmtId="0" fontId="1" fillId="0" borderId="1" xfId="0" applyFont="1" applyBorder="1" applyAlignment="1">
      <alignment vertical="center" wrapText="1"/>
    </xf>
    <xf numFmtId="0" fontId="9" fillId="0" borderId="1" xfId="0" applyFont="1" applyBorder="1" applyAlignment="1">
      <alignment vertical="center" wrapText="1"/>
    </xf>
    <xf numFmtId="0" fontId="0" fillId="13" borderId="2" xfId="0" applyFill="1" applyBorder="1" applyAlignment="1">
      <alignment vertical="center"/>
    </xf>
    <xf numFmtId="0" fontId="0" fillId="13" borderId="3" xfId="0" applyFill="1" applyBorder="1" applyAlignment="1">
      <alignment vertical="center"/>
    </xf>
    <xf numFmtId="0" fontId="0" fillId="13" borderId="4" xfId="0" applyFill="1" applyBorder="1" applyAlignment="1">
      <alignment vertical="center"/>
    </xf>
    <xf numFmtId="0" fontId="25" fillId="10" borderId="1" xfId="0" applyFont="1" applyFill="1" applyBorder="1" applyAlignment="1">
      <alignment horizontal="left" vertical="center" wrapText="1"/>
    </xf>
    <xf numFmtId="17" fontId="0" fillId="0" borderId="0" xfId="0" applyNumberFormat="1" applyAlignment="1">
      <alignment vertical="center"/>
    </xf>
    <xf numFmtId="0" fontId="1" fillId="10" borderId="1" xfId="0" applyFont="1" applyFill="1" applyBorder="1" applyAlignment="1">
      <alignment horizontal="left" vertical="center" wrapText="1"/>
    </xf>
    <xf numFmtId="0" fontId="27" fillId="0" borderId="13" xfId="0" applyFont="1" applyBorder="1" applyAlignment="1">
      <alignment wrapText="1"/>
    </xf>
    <xf numFmtId="0" fontId="30" fillId="22" borderId="1" xfId="0" applyFont="1" applyFill="1" applyBorder="1"/>
    <xf numFmtId="0" fontId="30" fillId="22" borderId="1" xfId="0" applyFont="1" applyFill="1" applyBorder="1" applyAlignment="1">
      <alignment wrapText="1"/>
    </xf>
    <xf numFmtId="0" fontId="30" fillId="22" borderId="1" xfId="0" applyFont="1" applyFill="1" applyBorder="1" applyAlignment="1">
      <alignment vertical="top" wrapText="1"/>
    </xf>
    <xf numFmtId="0" fontId="30" fillId="0" borderId="1" xfId="0" applyFont="1" applyBorder="1" applyAlignment="1">
      <alignment vertical="center"/>
    </xf>
    <xf numFmtId="0" fontId="27" fillId="22" borderId="1" xfId="0" applyFont="1" applyFill="1" applyBorder="1" applyAlignment="1">
      <alignment wrapText="1"/>
    </xf>
    <xf numFmtId="0" fontId="27" fillId="22" borderId="13" xfId="0" applyFont="1" applyFill="1" applyBorder="1" applyAlignment="1">
      <alignment wrapText="1"/>
    </xf>
    <xf numFmtId="0" fontId="7" fillId="13" borderId="1" xfId="0" applyFont="1" applyFill="1" applyBorder="1" applyAlignment="1">
      <alignment horizontal="center" vertical="center" wrapText="1"/>
    </xf>
    <xf numFmtId="0" fontId="32" fillId="23" borderId="18" xfId="0" applyFont="1" applyFill="1" applyBorder="1" applyAlignment="1">
      <alignment wrapText="1"/>
    </xf>
    <xf numFmtId="0" fontId="32" fillId="23" borderId="19" xfId="0" applyFont="1" applyFill="1" applyBorder="1" applyAlignment="1">
      <alignment wrapText="1"/>
    </xf>
    <xf numFmtId="0" fontId="32" fillId="23" borderId="20" xfId="0" applyFont="1" applyFill="1" applyBorder="1" applyAlignment="1">
      <alignment wrapText="1"/>
    </xf>
    <xf numFmtId="0" fontId="33" fillId="24" borderId="15" xfId="0" applyFont="1" applyFill="1" applyBorder="1" applyAlignment="1">
      <alignment wrapText="1"/>
    </xf>
    <xf numFmtId="0" fontId="33" fillId="24" borderId="21" xfId="0" applyFont="1" applyFill="1" applyBorder="1" applyAlignment="1">
      <alignment wrapText="1"/>
    </xf>
    <xf numFmtId="0" fontId="33" fillId="24" borderId="21" xfId="0" applyFont="1" applyFill="1" applyBorder="1"/>
    <xf numFmtId="0" fontId="33" fillId="24" borderId="22" xfId="0" applyFont="1" applyFill="1" applyBorder="1"/>
    <xf numFmtId="0" fontId="34" fillId="25" borderId="15" xfId="0" applyFont="1" applyFill="1" applyBorder="1" applyAlignment="1">
      <alignment wrapText="1"/>
    </xf>
    <xf numFmtId="0" fontId="33" fillId="25" borderId="21" xfId="0" applyFont="1" applyFill="1" applyBorder="1" applyAlignment="1">
      <alignment wrapText="1"/>
    </xf>
    <xf numFmtId="0" fontId="27" fillId="26" borderId="1" xfId="0" applyFont="1" applyFill="1" applyBorder="1"/>
    <xf numFmtId="0" fontId="27" fillId="27" borderId="22" xfId="0" applyFont="1" applyFill="1" applyBorder="1"/>
    <xf numFmtId="0" fontId="34" fillId="28" borderId="15" xfId="0" applyFont="1" applyFill="1" applyBorder="1" applyAlignment="1">
      <alignment wrapText="1"/>
    </xf>
    <xf numFmtId="0" fontId="27" fillId="28" borderId="21" xfId="0" applyFont="1" applyFill="1" applyBorder="1" applyAlignment="1">
      <alignment wrapText="1"/>
    </xf>
    <xf numFmtId="0" fontId="27" fillId="0" borderId="21" xfId="0" applyFont="1" applyBorder="1"/>
    <xf numFmtId="0" fontId="27" fillId="29" borderId="21" xfId="0" applyFont="1" applyFill="1" applyBorder="1"/>
    <xf numFmtId="0" fontId="34" fillId="30" borderId="15" xfId="0" applyFont="1" applyFill="1" applyBorder="1" applyAlignment="1">
      <alignment wrapText="1"/>
    </xf>
    <xf numFmtId="0" fontId="27" fillId="30" borderId="21" xfId="0" applyFont="1" applyFill="1" applyBorder="1" applyAlignment="1">
      <alignment wrapText="1"/>
    </xf>
    <xf numFmtId="0" fontId="27" fillId="30" borderId="21" xfId="0" applyFont="1" applyFill="1" applyBorder="1"/>
    <xf numFmtId="0" fontId="27" fillId="0" borderId="21" xfId="0" applyFont="1" applyBorder="1" applyAlignment="1">
      <alignment wrapText="1"/>
    </xf>
    <xf numFmtId="0" fontId="27" fillId="22" borderId="21" xfId="0" applyFont="1" applyFill="1" applyBorder="1" applyAlignment="1">
      <alignment wrapText="1"/>
    </xf>
    <xf numFmtId="0" fontId="27" fillId="27" borderId="21" xfId="0" applyFont="1" applyFill="1" applyBorder="1" applyAlignment="1">
      <alignment wrapText="1"/>
    </xf>
    <xf numFmtId="0" fontId="34" fillId="28" borderId="23" xfId="0" applyFont="1" applyFill="1" applyBorder="1" applyAlignment="1">
      <alignment wrapText="1"/>
    </xf>
    <xf numFmtId="0" fontId="27" fillId="28" borderId="24" xfId="0" applyFont="1" applyFill="1" applyBorder="1" applyAlignment="1">
      <alignment wrapText="1"/>
    </xf>
    <xf numFmtId="0" fontId="34" fillId="28" borderId="13" xfId="0" applyFont="1" applyFill="1" applyBorder="1" applyAlignment="1">
      <alignment wrapText="1"/>
    </xf>
    <xf numFmtId="0" fontId="27" fillId="28" borderId="4" xfId="0" applyFont="1" applyFill="1" applyBorder="1" applyAlignment="1">
      <alignment wrapText="1"/>
    </xf>
    <xf numFmtId="0" fontId="27" fillId="28" borderId="25" xfId="0" applyFont="1" applyFill="1" applyBorder="1" applyAlignment="1">
      <alignment wrapText="1"/>
    </xf>
    <xf numFmtId="0" fontId="27" fillId="0" borderId="24" xfId="0" applyFont="1" applyBorder="1"/>
    <xf numFmtId="0" fontId="27" fillId="27" borderId="26" xfId="0" applyFont="1" applyFill="1" applyBorder="1"/>
    <xf numFmtId="0" fontId="27" fillId="0" borderId="4" xfId="0" applyFont="1" applyBorder="1"/>
    <xf numFmtId="0" fontId="27" fillId="27" borderId="27" xfId="0" applyFont="1" applyFill="1" applyBorder="1"/>
    <xf numFmtId="0" fontId="27" fillId="22" borderId="24" xfId="0" applyFont="1" applyFill="1" applyBorder="1" applyAlignment="1">
      <alignment wrapText="1"/>
    </xf>
    <xf numFmtId="0" fontId="27" fillId="22" borderId="4" xfId="0" applyFont="1" applyFill="1" applyBorder="1" applyAlignment="1">
      <alignment wrapText="1"/>
    </xf>
    <xf numFmtId="0" fontId="27" fillId="27" borderId="21" xfId="0" applyFont="1" applyFill="1" applyBorder="1"/>
    <xf numFmtId="0" fontId="34" fillId="30" borderId="13" xfId="0" applyFont="1" applyFill="1" applyBorder="1" applyAlignment="1">
      <alignment wrapText="1"/>
    </xf>
    <xf numFmtId="0" fontId="27" fillId="31" borderId="21" xfId="0" applyFont="1" applyFill="1" applyBorder="1" applyAlignment="1">
      <alignment wrapText="1"/>
    </xf>
    <xf numFmtId="0" fontId="27" fillId="26" borderId="21" xfId="0" applyFont="1" applyFill="1" applyBorder="1"/>
    <xf numFmtId="0" fontId="28" fillId="27" borderId="21" xfId="0" applyFont="1" applyFill="1" applyBorder="1" applyAlignment="1">
      <alignment wrapText="1"/>
    </xf>
    <xf numFmtId="0" fontId="27" fillId="0" borderId="24" xfId="0" applyFont="1" applyBorder="1" applyAlignment="1">
      <alignment wrapText="1"/>
    </xf>
    <xf numFmtId="0" fontId="27" fillId="32" borderId="28" xfId="0" applyFont="1" applyFill="1" applyBorder="1" applyAlignment="1">
      <alignment wrapText="1"/>
    </xf>
    <xf numFmtId="0" fontId="27" fillId="0" borderId="25" xfId="0" applyFont="1" applyBorder="1" applyAlignment="1">
      <alignment wrapText="1"/>
    </xf>
    <xf numFmtId="0" fontId="28" fillId="22" borderId="21" xfId="0" applyFont="1" applyFill="1" applyBorder="1" applyAlignment="1">
      <alignment wrapText="1"/>
    </xf>
    <xf numFmtId="0" fontId="32" fillId="23" borderId="13" xfId="0" applyFont="1" applyFill="1" applyBorder="1" applyAlignment="1">
      <alignment wrapText="1"/>
    </xf>
    <xf numFmtId="0" fontId="32" fillId="23" borderId="21" xfId="0" applyFont="1" applyFill="1" applyBorder="1" applyAlignment="1">
      <alignment wrapText="1"/>
    </xf>
    <xf numFmtId="0" fontId="33" fillId="24" borderId="13" xfId="0" applyFont="1" applyFill="1" applyBorder="1" applyAlignment="1">
      <alignment wrapText="1"/>
    </xf>
    <xf numFmtId="0" fontId="34" fillId="25" borderId="13" xfId="0" applyFont="1" applyFill="1" applyBorder="1" applyAlignment="1">
      <alignment wrapText="1"/>
    </xf>
    <xf numFmtId="0" fontId="27" fillId="30" borderId="13" xfId="0" applyFont="1" applyFill="1" applyBorder="1" applyAlignment="1">
      <alignment wrapText="1"/>
    </xf>
    <xf numFmtId="0" fontId="35" fillId="22" borderId="21" xfId="0" applyFont="1" applyFill="1" applyBorder="1" applyAlignment="1">
      <alignment wrapText="1"/>
    </xf>
    <xf numFmtId="0" fontId="27" fillId="22" borderId="21" xfId="0" quotePrefix="1" applyFont="1" applyFill="1" applyBorder="1" applyAlignment="1">
      <alignment wrapText="1"/>
    </xf>
    <xf numFmtId="0" fontId="28" fillId="0" borderId="21" xfId="0" applyFont="1" applyBorder="1" applyAlignment="1">
      <alignment wrapText="1"/>
    </xf>
    <xf numFmtId="0" fontId="0" fillId="11" borderId="1" xfId="0" applyFill="1" applyBorder="1" applyAlignment="1">
      <alignment horizontal="left" vertical="center"/>
    </xf>
    <xf numFmtId="0" fontId="0" fillId="3" borderId="1" xfId="0" applyFill="1" applyBorder="1" applyAlignment="1">
      <alignment horizontal="left" vertical="center"/>
    </xf>
    <xf numFmtId="0" fontId="1" fillId="11" borderId="1" xfId="0" applyFont="1" applyFill="1" applyBorder="1" applyAlignment="1">
      <alignment horizontal="left" vertical="center"/>
    </xf>
    <xf numFmtId="0" fontId="0" fillId="15" borderId="1" xfId="0" applyFill="1" applyBorder="1" applyAlignment="1">
      <alignment horizontal="left" vertical="center" wrapText="1"/>
    </xf>
    <xf numFmtId="0" fontId="3" fillId="6" borderId="1" xfId="0" applyFont="1" applyFill="1" applyBorder="1" applyAlignment="1">
      <alignment horizontal="left" vertical="center"/>
    </xf>
    <xf numFmtId="0" fontId="27" fillId="22" borderId="1" xfId="0" applyFont="1" applyFill="1" applyBorder="1"/>
    <xf numFmtId="0" fontId="27" fillId="22" borderId="13" xfId="0" applyFont="1" applyFill="1" applyBorder="1"/>
    <xf numFmtId="3" fontId="27" fillId="22" borderId="1" xfId="0" applyNumberFormat="1" applyFont="1" applyFill="1" applyBorder="1" applyAlignment="1">
      <alignment horizontal="left"/>
    </xf>
    <xf numFmtId="0" fontId="0" fillId="3" borderId="29" xfId="0" applyFill="1" applyBorder="1"/>
    <xf numFmtId="0" fontId="0" fillId="11" borderId="30" xfId="0" applyFill="1" applyBorder="1"/>
    <xf numFmtId="3" fontId="0" fillId="11" borderId="30" xfId="0" applyNumberFormat="1" applyFill="1" applyBorder="1" applyAlignment="1">
      <alignment horizontal="left"/>
    </xf>
    <xf numFmtId="0" fontId="0" fillId="11" borderId="1" xfId="0" quotePrefix="1" applyFill="1" applyBorder="1" applyAlignment="1">
      <alignment horizontal="left" vertical="top" wrapText="1"/>
    </xf>
    <xf numFmtId="0" fontId="7" fillId="11" borderId="1" xfId="0" applyFont="1" applyFill="1" applyBorder="1" applyAlignment="1">
      <alignment wrapText="1"/>
    </xf>
    <xf numFmtId="0" fontId="27" fillId="27" borderId="4" xfId="0" applyFont="1" applyFill="1" applyBorder="1" applyAlignment="1">
      <alignment wrapText="1"/>
    </xf>
    <xf numFmtId="0" fontId="38" fillId="22" borderId="1" xfId="0" applyFont="1" applyFill="1" applyBorder="1"/>
    <xf numFmtId="0" fontId="38" fillId="22" borderId="4" xfId="0" applyFont="1" applyFill="1" applyBorder="1"/>
    <xf numFmtId="0" fontId="38" fillId="0" borderId="4" xfId="0" applyFont="1" applyBorder="1"/>
    <xf numFmtId="0" fontId="38" fillId="22" borderId="13" xfId="0" applyFont="1" applyFill="1" applyBorder="1"/>
    <xf numFmtId="0" fontId="38" fillId="22" borderId="21" xfId="0" applyFont="1" applyFill="1" applyBorder="1"/>
    <xf numFmtId="0" fontId="38" fillId="0" borderId="21" xfId="0" applyFont="1" applyBorder="1"/>
    <xf numFmtId="11" fontId="38" fillId="22" borderId="21" xfId="0" applyNumberFormat="1" applyFont="1" applyFill="1" applyBorder="1"/>
    <xf numFmtId="0" fontId="39" fillId="0" borderId="0" xfId="0" applyFont="1"/>
    <xf numFmtId="0" fontId="40" fillId="22" borderId="1" xfId="0" applyFont="1" applyFill="1" applyBorder="1" applyAlignment="1">
      <alignment wrapText="1"/>
    </xf>
    <xf numFmtId="0" fontId="40" fillId="22" borderId="13" xfId="0" applyFont="1" applyFill="1" applyBorder="1" applyAlignment="1">
      <alignment wrapText="1"/>
    </xf>
    <xf numFmtId="0" fontId="27" fillId="22" borderId="13" xfId="0" quotePrefix="1" applyFont="1" applyFill="1" applyBorder="1" applyAlignment="1">
      <alignment wrapText="1"/>
    </xf>
    <xf numFmtId="0" fontId="43" fillId="13" borderId="2" xfId="0" applyFont="1" applyFill="1" applyBorder="1" applyAlignment="1">
      <alignment horizontal="left" vertical="center"/>
    </xf>
    <xf numFmtId="0" fontId="43" fillId="13" borderId="3" xfId="0" applyFont="1" applyFill="1" applyBorder="1" applyAlignment="1">
      <alignment horizontal="left" vertical="center"/>
    </xf>
    <xf numFmtId="0" fontId="43" fillId="13" borderId="4" xfId="0" applyFont="1" applyFill="1" applyBorder="1" applyAlignment="1">
      <alignment horizontal="left" vertical="center"/>
    </xf>
    <xf numFmtId="0" fontId="2" fillId="0" borderId="1" xfId="0" applyFont="1" applyBorder="1"/>
    <xf numFmtId="0" fontId="0" fillId="0" borderId="1" xfId="0" applyBorder="1"/>
    <xf numFmtId="0" fontId="3" fillId="6" borderId="1" xfId="0" applyFont="1" applyFill="1" applyBorder="1" applyAlignment="1">
      <alignment horizontal="left" wrapText="1"/>
    </xf>
    <xf numFmtId="0" fontId="3" fillId="7" borderId="1" xfId="0" applyFont="1" applyFill="1" applyBorder="1" applyAlignment="1">
      <alignment horizontal="left" wrapText="1"/>
    </xf>
    <xf numFmtId="0" fontId="0" fillId="0" borderId="1" xfId="0" applyBorder="1" applyAlignment="1">
      <alignment horizontal="left" wrapText="1"/>
    </xf>
    <xf numFmtId="0" fontId="17" fillId="0" borderId="5" xfId="0" applyFont="1" applyBorder="1" applyAlignment="1">
      <alignment horizontal="center" vertical="center"/>
    </xf>
    <xf numFmtId="0" fontId="17" fillId="0" borderId="5" xfId="0" applyFont="1" applyBorder="1" applyAlignment="1">
      <alignment horizontal="center" wrapText="1"/>
    </xf>
    <xf numFmtId="0" fontId="42" fillId="13" borderId="2" xfId="0" applyFont="1" applyFill="1" applyBorder="1" applyAlignment="1">
      <alignment vertical="center" wrapText="1"/>
    </xf>
    <xf numFmtId="0" fontId="42" fillId="13" borderId="3" xfId="0" applyFont="1" applyFill="1" applyBorder="1" applyAlignment="1">
      <alignment vertical="center" wrapText="1"/>
    </xf>
    <xf numFmtId="0" fontId="42" fillId="13" borderId="4" xfId="0" applyFont="1" applyFill="1" applyBorder="1" applyAlignment="1">
      <alignment vertical="center" wrapText="1"/>
    </xf>
    <xf numFmtId="0" fontId="0" fillId="22" borderId="2" xfId="0" applyFill="1" applyBorder="1" applyAlignment="1">
      <alignment horizontal="left" vertical="center" wrapText="1"/>
    </xf>
    <xf numFmtId="0" fontId="0" fillId="22" borderId="3" xfId="0" applyFill="1" applyBorder="1" applyAlignment="1">
      <alignment horizontal="left" vertical="center" wrapText="1"/>
    </xf>
    <xf numFmtId="0" fontId="0" fillId="22" borderId="4" xfId="0" applyFill="1" applyBorder="1" applyAlignment="1">
      <alignment horizontal="left" vertical="center" wrapText="1"/>
    </xf>
    <xf numFmtId="0" fontId="0" fillId="15" borderId="2" xfId="0" applyFill="1" applyBorder="1" applyAlignment="1">
      <alignment vertical="center" wrapText="1"/>
    </xf>
    <xf numFmtId="0" fontId="0" fillId="15" borderId="3" xfId="0" applyFill="1" applyBorder="1" applyAlignment="1">
      <alignment vertical="center" wrapText="1"/>
    </xf>
    <xf numFmtId="0" fontId="0" fillId="15" borderId="4" xfId="0" applyFill="1" applyBorder="1" applyAlignment="1">
      <alignment vertical="center" wrapText="1"/>
    </xf>
    <xf numFmtId="0" fontId="4" fillId="5" borderId="2" xfId="0" applyFont="1" applyFill="1" applyBorder="1" applyAlignment="1">
      <alignment vertical="center" wrapText="1"/>
    </xf>
    <xf numFmtId="0" fontId="4" fillId="5" borderId="3" xfId="0" applyFont="1" applyFill="1" applyBorder="1" applyAlignment="1">
      <alignment vertical="center" wrapText="1"/>
    </xf>
    <xf numFmtId="0" fontId="4" fillId="5" borderId="4" xfId="0" applyFont="1" applyFill="1" applyBorder="1" applyAlignment="1">
      <alignment vertical="center" wrapText="1"/>
    </xf>
    <xf numFmtId="0" fontId="3" fillId="6" borderId="2" xfId="0" applyFont="1" applyFill="1" applyBorder="1" applyAlignment="1">
      <alignment vertical="center"/>
    </xf>
    <xf numFmtId="0" fontId="3" fillId="6" borderId="3" xfId="0" applyFont="1" applyFill="1" applyBorder="1" applyAlignment="1">
      <alignment vertical="center"/>
    </xf>
    <xf numFmtId="0" fontId="3" fillId="6" borderId="4" xfId="0" applyFont="1" applyFill="1" applyBorder="1" applyAlignment="1">
      <alignment vertical="center"/>
    </xf>
    <xf numFmtId="0" fontId="3" fillId="7" borderId="2" xfId="0" applyFont="1" applyFill="1" applyBorder="1" applyAlignment="1">
      <alignment vertical="center" wrapText="1"/>
    </xf>
    <xf numFmtId="0" fontId="3" fillId="7" borderId="3" xfId="0" applyFont="1" applyFill="1" applyBorder="1" applyAlignment="1">
      <alignment vertical="center" wrapText="1"/>
    </xf>
    <xf numFmtId="0" fontId="3" fillId="7" borderId="4" xfId="0" applyFont="1" applyFill="1"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3" borderId="2" xfId="0" applyFill="1" applyBorder="1" applyAlignment="1">
      <alignment vertical="center"/>
    </xf>
    <xf numFmtId="0" fontId="0" fillId="3" borderId="3" xfId="0" applyFill="1" applyBorder="1" applyAlignment="1">
      <alignment vertical="center"/>
    </xf>
    <xf numFmtId="0" fontId="0" fillId="3" borderId="4" xfId="0" applyFill="1" applyBorder="1" applyAlignment="1">
      <alignment vertical="center"/>
    </xf>
    <xf numFmtId="0" fontId="0" fillId="11" borderId="2" xfId="0" applyFill="1" applyBorder="1" applyAlignment="1">
      <alignment vertical="center"/>
    </xf>
    <xf numFmtId="0" fontId="0" fillId="11" borderId="3" xfId="0" applyFill="1" applyBorder="1" applyAlignment="1">
      <alignment vertical="center"/>
    </xf>
    <xf numFmtId="0" fontId="0" fillId="11" borderId="4" xfId="0" applyFill="1" applyBorder="1" applyAlignment="1">
      <alignment vertical="center"/>
    </xf>
    <xf numFmtId="0" fontId="9" fillId="11" borderId="2" xfId="0" applyFont="1" applyFill="1" applyBorder="1" applyAlignment="1">
      <alignment vertical="center"/>
    </xf>
    <xf numFmtId="0" fontId="9" fillId="11" borderId="3" xfId="0" applyFont="1" applyFill="1" applyBorder="1" applyAlignment="1">
      <alignment vertical="center"/>
    </xf>
    <xf numFmtId="0" fontId="9" fillId="11" borderId="4" xfId="0" applyFont="1" applyFill="1" applyBorder="1" applyAlignment="1">
      <alignment vertical="center"/>
    </xf>
    <xf numFmtId="0" fontId="0" fillId="15" borderId="2" xfId="0" applyFill="1" applyBorder="1" applyAlignment="1">
      <alignment vertical="center"/>
    </xf>
    <xf numFmtId="0" fontId="0" fillId="15" borderId="3" xfId="0" applyFill="1" applyBorder="1" applyAlignment="1">
      <alignment vertical="center"/>
    </xf>
    <xf numFmtId="0" fontId="0" fillId="15" borderId="4" xfId="0" applyFill="1" applyBorder="1" applyAlignment="1">
      <alignment vertical="center"/>
    </xf>
    <xf numFmtId="0" fontId="9" fillId="11" borderId="2" xfId="0" applyFont="1" applyFill="1" applyBorder="1" applyAlignment="1">
      <alignment vertical="center" wrapText="1"/>
    </xf>
    <xf numFmtId="0" fontId="9" fillId="11" borderId="3" xfId="0" applyFont="1" applyFill="1" applyBorder="1" applyAlignment="1">
      <alignment vertical="center" wrapText="1"/>
    </xf>
    <xf numFmtId="0" fontId="9" fillId="11" borderId="4" xfId="0" applyFont="1" applyFill="1" applyBorder="1" applyAlignment="1">
      <alignment vertical="center" wrapText="1"/>
    </xf>
    <xf numFmtId="0" fontId="0" fillId="13" borderId="2" xfId="0" applyFill="1" applyBorder="1" applyAlignment="1">
      <alignment vertical="center" wrapText="1"/>
    </xf>
    <xf numFmtId="0" fontId="0" fillId="13" borderId="3" xfId="0" applyFill="1" applyBorder="1" applyAlignment="1">
      <alignment vertical="center" wrapText="1"/>
    </xf>
    <xf numFmtId="0" fontId="0" fillId="13" borderId="4" xfId="0" applyFill="1" applyBorder="1" applyAlignment="1">
      <alignment vertical="center" wrapText="1"/>
    </xf>
    <xf numFmtId="0" fontId="7" fillId="13" borderId="2" xfId="0" applyFont="1" applyFill="1" applyBorder="1" applyAlignment="1">
      <alignment vertical="center" wrapText="1"/>
    </xf>
    <xf numFmtId="0" fontId="7" fillId="13" borderId="3" xfId="0" applyFont="1" applyFill="1" applyBorder="1" applyAlignment="1">
      <alignment vertical="center" wrapText="1"/>
    </xf>
    <xf numFmtId="0" fontId="7" fillId="13" borderId="4" xfId="0" applyFont="1" applyFill="1" applyBorder="1" applyAlignment="1">
      <alignment vertical="center" wrapText="1"/>
    </xf>
    <xf numFmtId="0" fontId="1" fillId="13" borderId="2" xfId="0" applyFont="1" applyFill="1" applyBorder="1" applyAlignment="1">
      <alignment vertical="center" wrapText="1"/>
    </xf>
    <xf numFmtId="0" fontId="1" fillId="13" borderId="3" xfId="0" applyFont="1" applyFill="1" applyBorder="1" applyAlignment="1">
      <alignment vertical="center" wrapText="1"/>
    </xf>
    <xf numFmtId="0" fontId="1" fillId="13" borderId="4" xfId="0" applyFont="1" applyFill="1" applyBorder="1" applyAlignment="1">
      <alignment vertical="center" wrapText="1"/>
    </xf>
    <xf numFmtId="0" fontId="9" fillId="13" borderId="2" xfId="0" applyFont="1" applyFill="1" applyBorder="1" applyAlignment="1">
      <alignment vertical="center" wrapText="1"/>
    </xf>
    <xf numFmtId="0" fontId="9" fillId="13" borderId="3" xfId="0" applyFont="1" applyFill="1" applyBorder="1" applyAlignment="1">
      <alignment vertical="center" wrapText="1"/>
    </xf>
    <xf numFmtId="0" fontId="9" fillId="13" borderId="4" xfId="0" applyFont="1" applyFill="1" applyBorder="1" applyAlignment="1">
      <alignment vertical="center" wrapText="1"/>
    </xf>
    <xf numFmtId="0" fontId="10" fillId="13" borderId="2" xfId="0" applyFont="1" applyFill="1" applyBorder="1" applyAlignment="1">
      <alignment vertical="center" wrapText="1"/>
    </xf>
    <xf numFmtId="0" fontId="10" fillId="13" borderId="3" xfId="0" applyFont="1" applyFill="1" applyBorder="1" applyAlignment="1">
      <alignment vertical="center" wrapText="1"/>
    </xf>
    <xf numFmtId="0" fontId="10" fillId="13" borderId="4" xfId="0" applyFont="1" applyFill="1" applyBorder="1" applyAlignment="1">
      <alignment vertical="center" wrapText="1"/>
    </xf>
    <xf numFmtId="0" fontId="0" fillId="13" borderId="2" xfId="0" applyFill="1" applyBorder="1" applyAlignment="1">
      <alignment vertical="center"/>
    </xf>
    <xf numFmtId="0" fontId="0" fillId="13" borderId="3" xfId="0" applyFill="1" applyBorder="1" applyAlignment="1">
      <alignment vertical="center"/>
    </xf>
    <xf numFmtId="0" fontId="0" fillId="13" borderId="4" xfId="0" applyFill="1" applyBorder="1" applyAlignment="1">
      <alignment vertical="center"/>
    </xf>
    <xf numFmtId="0" fontId="3" fillId="6" borderId="2" xfId="0" applyFont="1" applyFill="1" applyBorder="1" applyAlignment="1">
      <alignment horizontal="left" vertical="center"/>
    </xf>
    <xf numFmtId="0" fontId="3" fillId="6" borderId="3" xfId="0" applyFont="1" applyFill="1" applyBorder="1" applyAlignment="1">
      <alignment horizontal="left" vertical="center"/>
    </xf>
    <xf numFmtId="0" fontId="3" fillId="6" borderId="4" xfId="0" applyFont="1" applyFill="1" applyBorder="1" applyAlignment="1">
      <alignment horizontal="left" vertical="center"/>
    </xf>
    <xf numFmtId="0" fontId="0" fillId="11" borderId="2" xfId="0" applyFill="1" applyBorder="1" applyAlignment="1">
      <alignment vertical="center" wrapText="1"/>
    </xf>
    <xf numFmtId="0" fontId="0" fillId="11" borderId="3" xfId="0" applyFill="1" applyBorder="1" applyAlignment="1">
      <alignment vertical="center" wrapText="1"/>
    </xf>
    <xf numFmtId="0" fontId="0" fillId="11" borderId="4" xfId="0" applyFill="1" applyBorder="1" applyAlignment="1">
      <alignmen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27" fillId="22" borderId="2" xfId="0" applyFont="1" applyFill="1" applyBorder="1" applyAlignment="1">
      <alignment wrapText="1"/>
    </xf>
    <xf numFmtId="0" fontId="27" fillId="22" borderId="3" xfId="0" applyFont="1" applyFill="1" applyBorder="1" applyAlignment="1">
      <alignment wrapText="1"/>
    </xf>
    <xf numFmtId="0" fontId="27" fillId="22" borderId="17" xfId="0" applyFont="1" applyFill="1" applyBorder="1" applyAlignment="1">
      <alignment wrapText="1"/>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3" fillId="7" borderId="2"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7" borderId="4" xfId="0" applyFont="1" applyFill="1" applyBorder="1" applyAlignment="1">
      <alignment horizontal="center" vertical="center" wrapText="1"/>
    </xf>
    <xf numFmtId="0" fontId="9" fillId="13" borderId="2" xfId="0" applyFont="1" applyFill="1" applyBorder="1" applyAlignment="1">
      <alignment vertical="center"/>
    </xf>
    <xf numFmtId="0" fontId="9" fillId="13" borderId="3" xfId="0" applyFont="1" applyFill="1" applyBorder="1" applyAlignment="1">
      <alignment vertical="center"/>
    </xf>
    <xf numFmtId="0" fontId="9" fillId="13" borderId="4" xfId="0" applyFont="1" applyFill="1" applyBorder="1" applyAlignment="1">
      <alignment vertical="center"/>
    </xf>
    <xf numFmtId="0" fontId="27" fillId="13" borderId="2" xfId="0" applyFont="1" applyFill="1" applyBorder="1" applyAlignment="1">
      <alignment vertical="center" wrapText="1"/>
    </xf>
    <xf numFmtId="0" fontId="7" fillId="13" borderId="2" xfId="0" applyFont="1" applyFill="1" applyBorder="1" applyAlignment="1">
      <alignment horizontal="left" vertical="center" wrapText="1"/>
    </xf>
    <xf numFmtId="0" fontId="7" fillId="13" borderId="3" xfId="0" applyFont="1" applyFill="1" applyBorder="1" applyAlignment="1">
      <alignment horizontal="left" vertical="center" wrapText="1"/>
    </xf>
    <xf numFmtId="0" fontId="7" fillId="13" borderId="4" xfId="0" applyFont="1" applyFill="1" applyBorder="1" applyAlignment="1">
      <alignment horizontal="left" vertical="center" wrapText="1"/>
    </xf>
    <xf numFmtId="0" fontId="41" fillId="13" borderId="2" xfId="0" applyFont="1" applyFill="1" applyBorder="1" applyAlignment="1">
      <alignment vertical="center" wrapText="1"/>
    </xf>
    <xf numFmtId="0" fontId="41" fillId="13" borderId="3" xfId="0" applyFont="1" applyFill="1" applyBorder="1" applyAlignment="1">
      <alignment vertical="center" wrapText="1"/>
    </xf>
    <xf numFmtId="0" fontId="41" fillId="13" borderId="4" xfId="0" applyFont="1" applyFill="1" applyBorder="1" applyAlignment="1">
      <alignment vertical="center" wrapText="1"/>
    </xf>
    <xf numFmtId="0" fontId="1" fillId="3" borderId="2" xfId="0" applyFont="1" applyFill="1" applyBorder="1" applyAlignment="1">
      <alignment vertical="center"/>
    </xf>
    <xf numFmtId="0" fontId="1" fillId="3" borderId="3" xfId="0" applyFont="1" applyFill="1" applyBorder="1" applyAlignment="1">
      <alignment vertical="center"/>
    </xf>
    <xf numFmtId="0" fontId="1" fillId="3" borderId="4" xfId="0" applyFont="1" applyFill="1" applyBorder="1" applyAlignment="1">
      <alignment vertical="center"/>
    </xf>
    <xf numFmtId="0" fontId="10" fillId="0" borderId="2" xfId="0" applyFont="1" applyBorder="1" applyAlignment="1">
      <alignment vertical="center" wrapText="1"/>
    </xf>
    <xf numFmtId="0" fontId="10" fillId="0" borderId="3" xfId="0" applyFont="1" applyBorder="1" applyAlignment="1">
      <alignment vertical="center" wrapText="1"/>
    </xf>
    <xf numFmtId="0" fontId="10" fillId="0" borderId="4" xfId="0" applyFont="1" applyBorder="1" applyAlignment="1">
      <alignment vertical="center" wrapText="1"/>
    </xf>
    <xf numFmtId="0" fontId="0" fillId="0" borderId="2" xfId="0" applyBorder="1" applyAlignment="1">
      <alignment vertical="center"/>
    </xf>
    <xf numFmtId="0" fontId="0" fillId="0" borderId="3" xfId="0" applyBorder="1" applyAlignment="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1" fillId="13" borderId="2" xfId="0" applyFont="1" applyFill="1" applyBorder="1" applyAlignment="1">
      <alignment horizontal="center" vertical="center" wrapText="1"/>
    </xf>
    <xf numFmtId="0" fontId="1" fillId="13" borderId="3" xfId="0" applyFont="1" applyFill="1" applyBorder="1" applyAlignment="1">
      <alignment horizontal="center" vertical="center" wrapText="1"/>
    </xf>
    <xf numFmtId="0" fontId="1" fillId="13" borderId="4" xfId="0" applyFont="1" applyFill="1" applyBorder="1" applyAlignment="1">
      <alignment horizontal="center" vertical="center" wrapText="1"/>
    </xf>
    <xf numFmtId="0" fontId="0" fillId="0" borderId="4" xfId="0" applyBorder="1" applyAlignment="1">
      <alignment vertical="center"/>
    </xf>
    <xf numFmtId="0" fontId="1" fillId="13" borderId="2" xfId="0" applyFont="1" applyFill="1" applyBorder="1" applyAlignment="1">
      <alignment vertical="center"/>
    </xf>
    <xf numFmtId="0" fontId="1" fillId="13" borderId="3" xfId="0" applyFont="1" applyFill="1" applyBorder="1" applyAlignment="1">
      <alignment vertical="center"/>
    </xf>
    <xf numFmtId="0" fontId="1" fillId="13" borderId="4" xfId="0" applyFont="1" applyFill="1" applyBorder="1" applyAlignment="1">
      <alignment vertical="center"/>
    </xf>
    <xf numFmtId="0" fontId="30" fillId="13" borderId="2" xfId="0" applyFont="1" applyFill="1" applyBorder="1" applyAlignment="1">
      <alignment horizontal="left" vertical="center"/>
    </xf>
    <xf numFmtId="0" fontId="30" fillId="13" borderId="3" xfId="0" applyFont="1" applyFill="1" applyBorder="1" applyAlignment="1">
      <alignment horizontal="left" vertical="center"/>
    </xf>
    <xf numFmtId="0" fontId="30" fillId="13" borderId="4" xfId="0" applyFont="1" applyFill="1" applyBorder="1" applyAlignment="1">
      <alignment horizontal="left" vertical="center"/>
    </xf>
    <xf numFmtId="0" fontId="14" fillId="13" borderId="2" xfId="0" applyFont="1" applyFill="1" applyBorder="1" applyAlignment="1">
      <alignment vertical="center"/>
    </xf>
    <xf numFmtId="0" fontId="14" fillId="13" borderId="3" xfId="0" applyFont="1" applyFill="1" applyBorder="1" applyAlignment="1">
      <alignment vertical="center"/>
    </xf>
    <xf numFmtId="0" fontId="14" fillId="13" borderId="4" xfId="0" applyFont="1" applyFill="1" applyBorder="1" applyAlignment="1">
      <alignment vertical="center"/>
    </xf>
    <xf numFmtId="0" fontId="43" fillId="13" borderId="2" xfId="0" applyFont="1" applyFill="1" applyBorder="1" applyAlignment="1">
      <alignment horizontal="left" vertical="center"/>
    </xf>
    <xf numFmtId="0" fontId="43" fillId="13" borderId="3" xfId="0" applyFont="1" applyFill="1" applyBorder="1" applyAlignment="1">
      <alignment horizontal="left" vertical="center"/>
    </xf>
    <xf numFmtId="0" fontId="43" fillId="13" borderId="4" xfId="0" applyFont="1" applyFill="1" applyBorder="1" applyAlignment="1">
      <alignment horizontal="left" vertical="center"/>
    </xf>
    <xf numFmtId="0" fontId="0" fillId="15" borderId="2" xfId="0" applyFill="1" applyBorder="1" applyAlignment="1">
      <alignment horizontal="left" vertical="center" wrapText="1"/>
    </xf>
    <xf numFmtId="0" fontId="0" fillId="15" borderId="3" xfId="0" applyFill="1" applyBorder="1" applyAlignment="1">
      <alignment horizontal="left" vertical="center" wrapText="1"/>
    </xf>
    <xf numFmtId="0" fontId="0" fillId="15" borderId="4" xfId="0" applyFill="1" applyBorder="1" applyAlignment="1">
      <alignment horizontal="left" vertical="center" wrapText="1"/>
    </xf>
    <xf numFmtId="0" fontId="7" fillId="15" borderId="2" xfId="0" applyFont="1" applyFill="1" applyBorder="1" applyAlignment="1">
      <alignment horizontal="left" vertical="center" wrapText="1"/>
    </xf>
    <xf numFmtId="0" fontId="7" fillId="15" borderId="3" xfId="0" applyFont="1" applyFill="1" applyBorder="1" applyAlignment="1">
      <alignment horizontal="left" vertical="center" wrapText="1"/>
    </xf>
    <xf numFmtId="0" fontId="7" fillId="15" borderId="4" xfId="0" applyFont="1" applyFill="1" applyBorder="1" applyAlignment="1">
      <alignment horizontal="left" vertical="center" wrapText="1"/>
    </xf>
    <xf numFmtId="0" fontId="0" fillId="15" borderId="2" xfId="0" applyFill="1" applyBorder="1" applyAlignment="1">
      <alignment horizontal="center" vertical="center" wrapText="1"/>
    </xf>
    <xf numFmtId="0" fontId="0" fillId="15" borderId="3" xfId="0" applyFill="1" applyBorder="1" applyAlignment="1">
      <alignment horizontal="center" vertical="center" wrapText="1"/>
    </xf>
    <xf numFmtId="0" fontId="0" fillId="15" borderId="4" xfId="0" applyFill="1" applyBorder="1" applyAlignment="1">
      <alignment horizontal="center" vertical="center" wrapText="1"/>
    </xf>
    <xf numFmtId="0" fontId="4" fillId="5" borderId="2" xfId="0" applyFont="1" applyFill="1" applyBorder="1" applyAlignment="1">
      <alignment horizontal="left" vertical="top" wrapText="1"/>
    </xf>
    <xf numFmtId="0" fontId="4" fillId="5" borderId="3" xfId="0" applyFont="1" applyFill="1" applyBorder="1" applyAlignment="1">
      <alignment horizontal="left" vertical="top" wrapText="1"/>
    </xf>
    <xf numFmtId="0" fontId="4" fillId="5" borderId="4" xfId="0" applyFont="1" applyFill="1" applyBorder="1" applyAlignment="1">
      <alignment horizontal="left" vertical="top" wrapText="1"/>
    </xf>
    <xf numFmtId="0" fontId="9" fillId="13" borderId="2" xfId="0" applyFont="1" applyFill="1" applyBorder="1" applyAlignment="1">
      <alignment horizontal="left" vertical="center" wrapText="1"/>
    </xf>
    <xf numFmtId="0" fontId="9" fillId="13" borderId="3" xfId="0" applyFont="1" applyFill="1" applyBorder="1" applyAlignment="1">
      <alignment horizontal="left" vertical="center" wrapText="1"/>
    </xf>
    <xf numFmtId="0" fontId="9" fillId="13" borderId="4" xfId="0" applyFont="1" applyFill="1" applyBorder="1" applyAlignment="1">
      <alignment horizontal="left" vertical="center" wrapText="1"/>
    </xf>
    <xf numFmtId="0" fontId="0" fillId="13" borderId="2" xfId="0" applyFill="1" applyBorder="1" applyAlignment="1">
      <alignment horizontal="center" vertical="center" wrapText="1"/>
    </xf>
    <xf numFmtId="0" fontId="0" fillId="13" borderId="3" xfId="0" applyFill="1" applyBorder="1" applyAlignment="1">
      <alignment horizontal="center" vertical="center" wrapText="1"/>
    </xf>
    <xf numFmtId="0" fontId="0" fillId="13" borderId="4" xfId="0" applyFill="1" applyBorder="1" applyAlignment="1">
      <alignment horizontal="center" vertical="center" wrapText="1"/>
    </xf>
    <xf numFmtId="0" fontId="9" fillId="13" borderId="2" xfId="0" applyFont="1" applyFill="1" applyBorder="1" applyAlignment="1">
      <alignment horizontal="left" vertical="center"/>
    </xf>
    <xf numFmtId="0" fontId="9" fillId="13" borderId="3" xfId="0" applyFont="1" applyFill="1" applyBorder="1" applyAlignment="1">
      <alignment horizontal="left" vertical="center"/>
    </xf>
    <xf numFmtId="0" fontId="9" fillId="13" borderId="4" xfId="0" applyFont="1" applyFill="1" applyBorder="1" applyAlignment="1">
      <alignment horizontal="left" vertical="center"/>
    </xf>
    <xf numFmtId="0" fontId="0" fillId="3" borderId="2" xfId="0" applyFill="1" applyBorder="1" applyAlignment="1">
      <alignment horizontal="center" vertical="center"/>
    </xf>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6" fillId="0" borderId="1" xfId="0" applyFont="1" applyBorder="1" applyAlignment="1">
      <alignment vertical="center"/>
    </xf>
    <xf numFmtId="0" fontId="0" fillId="0" borderId="1" xfId="0" applyBorder="1" applyAlignment="1">
      <alignment vertical="center"/>
    </xf>
    <xf numFmtId="0" fontId="9" fillId="3" borderId="2" xfId="0" applyFont="1" applyFill="1" applyBorder="1" applyAlignment="1">
      <alignment horizontal="center" vertical="center" wrapText="1"/>
    </xf>
    <xf numFmtId="0" fontId="9" fillId="3" borderId="4" xfId="0" applyFont="1" applyFill="1" applyBorder="1" applyAlignment="1">
      <alignment horizontal="center" vertical="center" wrapText="1"/>
    </xf>
    <xf numFmtId="0" fontId="9" fillId="3" borderId="2" xfId="0" applyFont="1" applyFill="1" applyBorder="1" applyAlignment="1">
      <alignment horizontal="center" vertical="center"/>
    </xf>
    <xf numFmtId="0" fontId="9" fillId="3" borderId="4" xfId="0" applyFont="1" applyFill="1" applyBorder="1" applyAlignment="1">
      <alignment horizontal="center" vertical="center"/>
    </xf>
    <xf numFmtId="0" fontId="0" fillId="13" borderId="2" xfId="0" applyFill="1" applyBorder="1" applyAlignment="1">
      <alignment horizontal="left" vertical="center"/>
    </xf>
    <xf numFmtId="0" fontId="0" fillId="13" borderId="3" xfId="0" applyFill="1" applyBorder="1" applyAlignment="1">
      <alignment horizontal="left" vertical="center"/>
    </xf>
    <xf numFmtId="0" fontId="0" fillId="13" borderId="4" xfId="0" applyFill="1" applyBorder="1" applyAlignment="1">
      <alignment horizontal="left" vertical="center"/>
    </xf>
    <xf numFmtId="0" fontId="0" fillId="13" borderId="2" xfId="0" applyFill="1" applyBorder="1" applyAlignment="1">
      <alignment horizontal="left" vertical="center" wrapText="1"/>
    </xf>
    <xf numFmtId="0" fontId="0" fillId="13" borderId="3" xfId="0" applyFill="1" applyBorder="1" applyAlignment="1">
      <alignment horizontal="left" vertical="center" wrapText="1"/>
    </xf>
    <xf numFmtId="0" fontId="0" fillId="13" borderId="4" xfId="0" applyFill="1" applyBorder="1" applyAlignment="1">
      <alignment horizontal="left" vertical="center" wrapText="1"/>
    </xf>
    <xf numFmtId="0" fontId="0" fillId="13" borderId="2" xfId="0" applyFill="1" applyBorder="1" applyAlignment="1">
      <alignment horizontal="center" vertical="center"/>
    </xf>
    <xf numFmtId="0" fontId="0" fillId="13" borderId="3" xfId="0" applyFill="1" applyBorder="1" applyAlignment="1">
      <alignment horizontal="center" vertical="center"/>
    </xf>
    <xf numFmtId="0" fontId="0" fillId="13" borderId="4" xfId="0" applyFill="1" applyBorder="1" applyAlignment="1">
      <alignment horizontal="center" vertical="center"/>
    </xf>
    <xf numFmtId="0" fontId="3" fillId="6" borderId="2" xfId="0" applyFont="1" applyFill="1" applyBorder="1" applyAlignment="1">
      <alignment horizontal="center" vertical="center"/>
    </xf>
    <xf numFmtId="0" fontId="3" fillId="6" borderId="3" xfId="0" applyFont="1" applyFill="1" applyBorder="1" applyAlignment="1">
      <alignment horizontal="center" vertical="center"/>
    </xf>
    <xf numFmtId="0" fontId="3" fillId="6" borderId="4" xfId="0" applyFont="1" applyFill="1" applyBorder="1" applyAlignment="1">
      <alignment horizontal="center" vertical="center"/>
    </xf>
    <xf numFmtId="0" fontId="3" fillId="7" borderId="2" xfId="0" applyFont="1" applyFill="1" applyBorder="1" applyAlignment="1">
      <alignment horizontal="left" vertical="center" wrapText="1"/>
    </xf>
    <xf numFmtId="0" fontId="3" fillId="7" borderId="3" xfId="0" applyFont="1" applyFill="1" applyBorder="1" applyAlignment="1">
      <alignment horizontal="left" vertical="center" wrapText="1"/>
    </xf>
    <xf numFmtId="0" fontId="3" fillId="7" borderId="4" xfId="0" applyFont="1" applyFill="1" applyBorder="1" applyAlignment="1">
      <alignment horizontal="left" vertical="center" wrapText="1"/>
    </xf>
    <xf numFmtId="0" fontId="4" fillId="5" borderId="2"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5" borderId="4" xfId="0" applyFont="1" applyFill="1" applyBorder="1" applyAlignment="1">
      <alignment horizontal="center" vertical="center" wrapText="1"/>
    </xf>
    <xf numFmtId="0" fontId="27" fillId="15" borderId="2" xfId="0" applyFont="1" applyFill="1" applyBorder="1" applyAlignment="1">
      <alignment horizontal="left" vertical="center"/>
    </xf>
    <xf numFmtId="0" fontId="0" fillId="15" borderId="3" xfId="0" applyFill="1" applyBorder="1" applyAlignment="1">
      <alignment horizontal="left" vertical="center"/>
    </xf>
    <xf numFmtId="0" fontId="0" fillId="15" borderId="4" xfId="0" applyFill="1" applyBorder="1" applyAlignment="1">
      <alignment horizontal="left" vertical="center"/>
    </xf>
    <xf numFmtId="0" fontId="10" fillId="13" borderId="2" xfId="0" applyFont="1" applyFill="1" applyBorder="1" applyAlignment="1">
      <alignment horizontal="center" vertical="center" wrapText="1"/>
    </xf>
    <xf numFmtId="0" fontId="10" fillId="13" borderId="3" xfId="0" applyFont="1" applyFill="1" applyBorder="1" applyAlignment="1">
      <alignment horizontal="center" vertical="center" wrapText="1"/>
    </xf>
    <xf numFmtId="0" fontId="10" fillId="13" borderId="4" xfId="0" applyFont="1" applyFill="1" applyBorder="1" applyAlignment="1">
      <alignment horizontal="center" vertical="center" wrapText="1"/>
    </xf>
    <xf numFmtId="0" fontId="26" fillId="13" borderId="2" xfId="0" applyFont="1" applyFill="1" applyBorder="1" applyAlignment="1">
      <alignment vertical="center"/>
    </xf>
    <xf numFmtId="0" fontId="26" fillId="13" borderId="3" xfId="0" applyFont="1" applyFill="1" applyBorder="1" applyAlignment="1">
      <alignment vertical="center"/>
    </xf>
    <xf numFmtId="0" fontId="26" fillId="13" borderId="4" xfId="0" applyFont="1" applyFill="1" applyBorder="1" applyAlignment="1">
      <alignment vertical="center"/>
    </xf>
    <xf numFmtId="0" fontId="28" fillId="22" borderId="3" xfId="0" applyFont="1" applyFill="1" applyBorder="1" applyAlignment="1">
      <alignment wrapText="1"/>
    </xf>
    <xf numFmtId="0" fontId="28" fillId="22" borderId="17" xfId="0" applyFont="1" applyFill="1" applyBorder="1" applyAlignment="1">
      <alignment wrapText="1"/>
    </xf>
    <xf numFmtId="0" fontId="29" fillId="22" borderId="3" xfId="0" applyFont="1" applyFill="1" applyBorder="1"/>
    <xf numFmtId="0" fontId="29" fillId="22" borderId="17" xfId="0" applyFont="1" applyFill="1" applyBorder="1"/>
    <xf numFmtId="0" fontId="42" fillId="13" borderId="2" xfId="0" applyFont="1" applyFill="1" applyBorder="1" applyAlignment="1">
      <alignment horizontal="left" vertical="center"/>
    </xf>
    <xf numFmtId="0" fontId="42" fillId="13" borderId="3" xfId="0" applyFont="1" applyFill="1" applyBorder="1" applyAlignment="1">
      <alignment horizontal="left" vertical="center"/>
    </xf>
    <xf numFmtId="0" fontId="42" fillId="13" borderId="4" xfId="0" applyFont="1" applyFill="1" applyBorder="1" applyAlignment="1">
      <alignment horizontal="left" vertical="center"/>
    </xf>
    <xf numFmtId="0" fontId="41" fillId="13" borderId="2" xfId="0" applyFont="1" applyFill="1" applyBorder="1" applyAlignment="1">
      <alignment horizontal="left" vertical="center"/>
    </xf>
    <xf numFmtId="0" fontId="41" fillId="13" borderId="3" xfId="0" applyFont="1" applyFill="1" applyBorder="1" applyAlignment="1">
      <alignment horizontal="left" vertical="center"/>
    </xf>
    <xf numFmtId="0" fontId="41" fillId="13" borderId="4" xfId="0" applyFont="1" applyFill="1" applyBorder="1" applyAlignment="1">
      <alignment horizontal="left" vertical="center"/>
    </xf>
    <xf numFmtId="0" fontId="16" fillId="0" borderId="1" xfId="0" applyFont="1" applyBorder="1"/>
    <xf numFmtId="0" fontId="0" fillId="14" borderId="2" xfId="0" applyFill="1" applyBorder="1" applyAlignment="1">
      <alignment wrapText="1"/>
    </xf>
    <xf numFmtId="0" fontId="0" fillId="14" borderId="3" xfId="0" applyFill="1" applyBorder="1"/>
    <xf numFmtId="0" fontId="0" fillId="14" borderId="4" xfId="0" applyFill="1" applyBorder="1"/>
    <xf numFmtId="0" fontId="0" fillId="14" borderId="3" xfId="0" applyFill="1" applyBorder="1" applyAlignment="1">
      <alignment wrapText="1"/>
    </xf>
    <xf numFmtId="0" fontId="0" fillId="14" borderId="4" xfId="0" applyFill="1" applyBorder="1" applyAlignment="1">
      <alignment wrapText="1"/>
    </xf>
    <xf numFmtId="0" fontId="0" fillId="14" borderId="2" xfId="0" applyFill="1" applyBorder="1" applyAlignment="1">
      <alignment vertical="top" wrapText="1"/>
    </xf>
    <xf numFmtId="0" fontId="0" fillId="14" borderId="3" xfId="0" applyFill="1" applyBorder="1" applyAlignment="1">
      <alignment vertical="top" wrapText="1"/>
    </xf>
    <xf numFmtId="0" fontId="0" fillId="14" borderId="4" xfId="0" applyFill="1" applyBorder="1" applyAlignment="1">
      <alignment vertical="top" wrapText="1"/>
    </xf>
    <xf numFmtId="0" fontId="0" fillId="11" borderId="2" xfId="0" applyFill="1" applyBorder="1" applyAlignment="1">
      <alignment vertical="top" wrapText="1"/>
    </xf>
    <xf numFmtId="0" fontId="0" fillId="11" borderId="3" xfId="0" applyFill="1" applyBorder="1" applyAlignment="1">
      <alignment vertical="top"/>
    </xf>
    <xf numFmtId="0" fontId="0" fillId="11" borderId="4" xfId="0" applyFill="1" applyBorder="1" applyAlignment="1">
      <alignment vertical="top"/>
    </xf>
    <xf numFmtId="0" fontId="16" fillId="0" borderId="1" xfId="0" applyFont="1" applyBorder="1" applyAlignment="1">
      <alignment horizontal="left"/>
    </xf>
    <xf numFmtId="0" fontId="0" fillId="0" borderId="1" xfId="0" applyBorder="1" applyAlignment="1">
      <alignment horizontal="left"/>
    </xf>
  </cellXfs>
  <cellStyles count="5">
    <cellStyle name="Normal" xfId="0" builtinId="0"/>
    <cellStyle name="Normal 10 12 3" xfId="4" xr:uid="{00000000-0005-0000-0000-000001000000}"/>
    <cellStyle name="Normal 11 2 2 2" xfId="1" xr:uid="{00000000-0005-0000-0000-000002000000}"/>
    <cellStyle name="Normal 2 2 2" xfId="3" xr:uid="{00000000-0005-0000-0000-000003000000}"/>
    <cellStyle name="Normal 5 2 2 2 2" xfId="2" xr:uid="{00000000-0005-0000-0000-000004000000}"/>
  </cellStyles>
  <dxfs count="198">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
      <numFmt numFmtId="30" formatCode="@"/>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16</xdr:col>
      <xdr:colOff>47625</xdr:colOff>
      <xdr:row>11</xdr:row>
      <xdr:rowOff>9525</xdr:rowOff>
    </xdr:from>
    <xdr:to>
      <xdr:col>27</xdr:col>
      <xdr:colOff>579098</xdr:colOff>
      <xdr:row>28</xdr:row>
      <xdr:rowOff>113680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801225" y="2105025"/>
          <a:ext cx="7237073" cy="3342655"/>
        </a:xfrm>
        <a:prstGeom prst="rect">
          <a:avLst/>
        </a:prstGeom>
      </xdr:spPr>
    </xdr:pic>
    <xdr:clientData/>
  </xdr:twoCellAnchor>
  <xdr:twoCellAnchor>
    <xdr:from>
      <xdr:col>7</xdr:col>
      <xdr:colOff>171450</xdr:colOff>
      <xdr:row>6</xdr:row>
      <xdr:rowOff>161925</xdr:rowOff>
    </xdr:from>
    <xdr:to>
      <xdr:col>15</xdr:col>
      <xdr:colOff>200025</xdr:colOff>
      <xdr:row>36</xdr:row>
      <xdr:rowOff>104775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rotWithShape="1">
        <a:blip xmlns:r="http://schemas.openxmlformats.org/officeDocument/2006/relationships" r:embed="rId2"/>
        <a:srcRect r="12467"/>
        <a:stretch/>
      </xdr:blipFill>
      <xdr:spPr>
        <a:xfrm>
          <a:off x="4438650" y="1304925"/>
          <a:ext cx="4905375" cy="5657850"/>
        </a:xfrm>
        <a:prstGeom prst="rect">
          <a:avLst/>
        </a:prstGeom>
      </xdr:spPr>
    </xdr:pic>
    <xdr:clientData/>
  </xdr:twoCellAnchor>
  <xdr:twoCellAnchor>
    <xdr:from>
      <xdr:col>14</xdr:col>
      <xdr:colOff>47624</xdr:colOff>
      <xdr:row>9</xdr:row>
      <xdr:rowOff>28575</xdr:rowOff>
    </xdr:from>
    <xdr:to>
      <xdr:col>15</xdr:col>
      <xdr:colOff>200025</xdr:colOff>
      <xdr:row>16</xdr:row>
      <xdr:rowOff>19050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8582024" y="1743075"/>
          <a:ext cx="762001" cy="132397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495300</xdr:colOff>
      <xdr:row>1</xdr:row>
      <xdr:rowOff>66675</xdr:rowOff>
    </xdr:from>
    <xdr:to>
      <xdr:col>13</xdr:col>
      <xdr:colOff>171450</xdr:colOff>
      <xdr:row>5</xdr:row>
      <xdr:rowOff>57150</xdr:rowOff>
    </xdr:to>
    <xdr:sp macro="" textlink="">
      <xdr:nvSpPr>
        <xdr:cNvPr id="3" name="Line Callout 2 (Border and Accent Bar) 2">
          <a:extLst>
            <a:ext uri="{FF2B5EF4-FFF2-40B4-BE49-F238E27FC236}">
              <a16:creationId xmlns:a16="http://schemas.microsoft.com/office/drawing/2014/main" id="{00000000-0008-0000-0000-000003000000}"/>
            </a:ext>
          </a:extLst>
        </xdr:cNvPr>
        <xdr:cNvSpPr/>
      </xdr:nvSpPr>
      <xdr:spPr>
        <a:xfrm>
          <a:off x="3543300" y="257175"/>
          <a:ext cx="1504950" cy="752475"/>
        </a:xfrm>
        <a:prstGeom prst="accentBorderCallout2">
          <a:avLst>
            <a:gd name="adj1" fmla="val 37500"/>
            <a:gd name="adj2" fmla="val 110883"/>
            <a:gd name="adj3" fmla="val 38766"/>
            <a:gd name="adj4" fmla="val 139227"/>
            <a:gd name="adj5" fmla="val 196961"/>
            <a:gd name="adj6" fmla="val 156525"/>
          </a:avLst>
        </a:prstGeom>
        <a:solidFill>
          <a:srgbClr val="00B050"/>
        </a:solidFill>
        <a:ln w="38100">
          <a:solidFill>
            <a:srgbClr val="0070C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lt1"/>
              </a:solidFill>
              <a:effectLst/>
              <a:latin typeface="+mn-lt"/>
              <a:ea typeface="+mn-ea"/>
              <a:cs typeface="+mn-cs"/>
            </a:rPr>
            <a:t>Users could add</a:t>
          </a:r>
          <a:r>
            <a:rPr lang="en-US" sz="1400" b="1" baseline="0">
              <a:solidFill>
                <a:schemeClr val="lt1"/>
              </a:solidFill>
              <a:effectLst/>
              <a:latin typeface="+mn-lt"/>
              <a:ea typeface="+mn-ea"/>
              <a:cs typeface="+mn-cs"/>
            </a:rPr>
            <a:t> comments in this column if neededa</a:t>
          </a:r>
          <a:endParaRPr lang="en-US" sz="1400" b="1">
            <a:effectLst/>
          </a:endParaRPr>
        </a:p>
      </xdr:txBody>
    </xdr:sp>
    <xdr:clientData/>
  </xdr:twoCellAnchor>
  <xdr:twoCellAnchor>
    <xdr:from>
      <xdr:col>8</xdr:col>
      <xdr:colOff>571501</xdr:colOff>
      <xdr:row>16</xdr:row>
      <xdr:rowOff>133351</xdr:rowOff>
    </xdr:from>
    <xdr:to>
      <xdr:col>14</xdr:col>
      <xdr:colOff>95251</xdr:colOff>
      <xdr:row>22</xdr:row>
      <xdr:rowOff>57151</xdr:rowOff>
    </xdr:to>
    <xdr:sp macro="" textlink="">
      <xdr:nvSpPr>
        <xdr:cNvPr id="12" name="Rectangle 11">
          <a:extLst>
            <a:ext uri="{FF2B5EF4-FFF2-40B4-BE49-F238E27FC236}">
              <a16:creationId xmlns:a16="http://schemas.microsoft.com/office/drawing/2014/main" id="{00000000-0008-0000-0000-00000C000000}"/>
            </a:ext>
          </a:extLst>
        </xdr:cNvPr>
        <xdr:cNvSpPr/>
      </xdr:nvSpPr>
      <xdr:spPr>
        <a:xfrm>
          <a:off x="5448301" y="3181351"/>
          <a:ext cx="3181350" cy="106680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209550</xdr:colOff>
      <xdr:row>0</xdr:row>
      <xdr:rowOff>171450</xdr:rowOff>
    </xdr:from>
    <xdr:to>
      <xdr:col>9</xdr:col>
      <xdr:colOff>533400</xdr:colOff>
      <xdr:row>6</xdr:row>
      <xdr:rowOff>0</xdr:rowOff>
    </xdr:to>
    <xdr:sp macro="" textlink="">
      <xdr:nvSpPr>
        <xdr:cNvPr id="10" name="Line Callout 2 (Border and Accent Bar) 9">
          <a:extLst>
            <a:ext uri="{FF2B5EF4-FFF2-40B4-BE49-F238E27FC236}">
              <a16:creationId xmlns:a16="http://schemas.microsoft.com/office/drawing/2014/main" id="{00000000-0008-0000-0000-00000A000000}"/>
            </a:ext>
          </a:extLst>
        </xdr:cNvPr>
        <xdr:cNvSpPr/>
      </xdr:nvSpPr>
      <xdr:spPr>
        <a:xfrm>
          <a:off x="4476750" y="171450"/>
          <a:ext cx="1543050" cy="971550"/>
        </a:xfrm>
        <a:prstGeom prst="accentBorderCallout2">
          <a:avLst>
            <a:gd name="adj1" fmla="val 21250"/>
            <a:gd name="adj2" fmla="val 108515"/>
            <a:gd name="adj3" fmla="val 21250"/>
            <a:gd name="adj4" fmla="val 123107"/>
            <a:gd name="adj5" fmla="val 312108"/>
            <a:gd name="adj6" fmla="val 168489"/>
          </a:avLst>
        </a:prstGeom>
        <a:solidFill>
          <a:srgbClr val="00B050"/>
        </a:solidFill>
        <a:ln w="38100">
          <a:solidFill>
            <a:srgbClr val="0070C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eaLnBrk="1" fontAlgn="auto" latinLnBrk="0" hangingPunct="1"/>
          <a:r>
            <a:rPr lang="en-US" sz="1400" b="1">
              <a:solidFill>
                <a:schemeClr val="lt1"/>
              </a:solidFill>
              <a:effectLst/>
              <a:latin typeface="+mn-lt"/>
              <a:ea typeface="+mn-ea"/>
              <a:cs typeface="+mn-cs"/>
            </a:rPr>
            <a:t>Software/System  Lead can add content in this column</a:t>
          </a:r>
          <a:endParaRPr lang="en-US" sz="1400">
            <a:effectLst/>
          </a:endParaRPr>
        </a:p>
      </xdr:txBody>
    </xdr:sp>
    <xdr:clientData/>
  </xdr:twoCellAnchor>
  <xdr:twoCellAnchor>
    <xdr:from>
      <xdr:col>24</xdr:col>
      <xdr:colOff>85725</xdr:colOff>
      <xdr:row>5</xdr:row>
      <xdr:rowOff>85725</xdr:rowOff>
    </xdr:from>
    <xdr:to>
      <xdr:col>27</xdr:col>
      <xdr:colOff>581025</xdr:colOff>
      <xdr:row>9</xdr:row>
      <xdr:rowOff>85725</xdr:rowOff>
    </xdr:to>
    <xdr:sp macro="" textlink="">
      <xdr:nvSpPr>
        <xdr:cNvPr id="9" name="Line Callout 2 (Border and Accent Bar) 8">
          <a:extLst>
            <a:ext uri="{FF2B5EF4-FFF2-40B4-BE49-F238E27FC236}">
              <a16:creationId xmlns:a16="http://schemas.microsoft.com/office/drawing/2014/main" id="{00000000-0008-0000-0000-000009000000}"/>
            </a:ext>
          </a:extLst>
        </xdr:cNvPr>
        <xdr:cNvSpPr/>
      </xdr:nvSpPr>
      <xdr:spPr>
        <a:xfrm>
          <a:off x="11668125" y="1038225"/>
          <a:ext cx="2324100" cy="762000"/>
        </a:xfrm>
        <a:prstGeom prst="accentBorderCallout2">
          <a:avLst>
            <a:gd name="adj1" fmla="val 20000"/>
            <a:gd name="adj2" fmla="val -13707"/>
            <a:gd name="adj3" fmla="val 21250"/>
            <a:gd name="adj4" fmla="val -43559"/>
            <a:gd name="adj5" fmla="val 261250"/>
            <a:gd name="adj6" fmla="val -116488"/>
          </a:avLst>
        </a:prstGeom>
        <a:solidFill>
          <a:srgbClr val="00B050"/>
        </a:solidFill>
        <a:ln w="38100">
          <a:solidFill>
            <a:srgbClr val="0070C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lt1"/>
              </a:solidFill>
              <a:effectLst/>
              <a:latin typeface="+mn-lt"/>
              <a:ea typeface="+mn-ea"/>
              <a:cs typeface="+mn-cs"/>
            </a:rPr>
            <a:t>PMs and R&amp;D users can add specs values in this column</a:t>
          </a:r>
        </a:p>
      </xdr:txBody>
    </xdr:sp>
    <xdr:clientData/>
  </xdr:twoCellAnchor>
  <xdr:twoCellAnchor editAs="oneCell">
    <xdr:from>
      <xdr:col>14</xdr:col>
      <xdr:colOff>457200</xdr:colOff>
      <xdr:row>1</xdr:row>
      <xdr:rowOff>9525</xdr:rowOff>
    </xdr:from>
    <xdr:to>
      <xdr:col>31</xdr:col>
      <xdr:colOff>408286</xdr:colOff>
      <xdr:row>3</xdr:row>
      <xdr:rowOff>95250</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rotWithShape="1">
        <a:blip xmlns:r="http://schemas.openxmlformats.org/officeDocument/2006/relationships" r:embed="rId3"/>
        <a:srcRect b="5758"/>
        <a:stretch/>
      </xdr:blipFill>
      <xdr:spPr>
        <a:xfrm>
          <a:off x="5943600" y="200025"/>
          <a:ext cx="10314286" cy="466725"/>
        </a:xfrm>
        <a:prstGeom prst="rect">
          <a:avLst/>
        </a:prstGeom>
      </xdr:spPr>
    </xdr:pic>
    <xdr:clientData/>
  </xdr:twoCellAnchor>
  <xdr:twoCellAnchor>
    <xdr:from>
      <xdr:col>14</xdr:col>
      <xdr:colOff>457199</xdr:colOff>
      <xdr:row>1</xdr:row>
      <xdr:rowOff>0</xdr:rowOff>
    </xdr:from>
    <xdr:to>
      <xdr:col>31</xdr:col>
      <xdr:colOff>409574</xdr:colOff>
      <xdr:row>3</xdr:row>
      <xdr:rowOff>95250</xdr:rowOff>
    </xdr:to>
    <xdr:sp macro="" textlink="">
      <xdr:nvSpPr>
        <xdr:cNvPr id="17" name="Rectangle 16">
          <a:extLst>
            <a:ext uri="{FF2B5EF4-FFF2-40B4-BE49-F238E27FC236}">
              <a16:creationId xmlns:a16="http://schemas.microsoft.com/office/drawing/2014/main" id="{00000000-0008-0000-0000-000011000000}"/>
            </a:ext>
          </a:extLst>
        </xdr:cNvPr>
        <xdr:cNvSpPr/>
      </xdr:nvSpPr>
      <xdr:spPr>
        <a:xfrm>
          <a:off x="5943599" y="190500"/>
          <a:ext cx="10315575" cy="47625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314325</xdr:colOff>
      <xdr:row>4</xdr:row>
      <xdr:rowOff>85725</xdr:rowOff>
    </xdr:from>
    <xdr:to>
      <xdr:col>20</xdr:col>
      <xdr:colOff>352425</xdr:colOff>
      <xdr:row>8</xdr:row>
      <xdr:rowOff>85725</xdr:rowOff>
    </xdr:to>
    <xdr:sp macro="" textlink="">
      <xdr:nvSpPr>
        <xdr:cNvPr id="18" name="Line Callout 2 (Border and Accent Bar) 17">
          <a:extLst>
            <a:ext uri="{FF2B5EF4-FFF2-40B4-BE49-F238E27FC236}">
              <a16:creationId xmlns:a16="http://schemas.microsoft.com/office/drawing/2014/main" id="{00000000-0008-0000-0000-000012000000}"/>
            </a:ext>
          </a:extLst>
        </xdr:cNvPr>
        <xdr:cNvSpPr/>
      </xdr:nvSpPr>
      <xdr:spPr>
        <a:xfrm>
          <a:off x="7019925" y="847725"/>
          <a:ext cx="2476500" cy="762000"/>
        </a:xfrm>
        <a:prstGeom prst="accentBorderCallout2">
          <a:avLst>
            <a:gd name="adj1" fmla="val 3825"/>
            <a:gd name="adj2" fmla="val 108726"/>
            <a:gd name="adj3" fmla="val 3825"/>
            <a:gd name="adj4" fmla="val 132745"/>
            <a:gd name="adj5" fmla="val -59870"/>
            <a:gd name="adj6" fmla="val 159939"/>
          </a:avLst>
        </a:prstGeom>
        <a:solidFill>
          <a:srgbClr val="00B050"/>
        </a:solidFill>
        <a:ln w="3810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Content</a:t>
          </a:r>
          <a:r>
            <a:rPr lang="en-US" sz="1400" b="1" baseline="0"/>
            <a:t> Tabs are color coded for easy location of each section</a:t>
          </a:r>
          <a:endParaRPr lang="en-US" sz="1400" b="1"/>
        </a:p>
      </xdr:txBody>
    </xdr:sp>
    <xdr:clientData/>
  </xdr:twoCellAnchor>
  <xdr:twoCellAnchor>
    <xdr:from>
      <xdr:col>17</xdr:col>
      <xdr:colOff>409575</xdr:colOff>
      <xdr:row>15</xdr:row>
      <xdr:rowOff>161925</xdr:rowOff>
    </xdr:from>
    <xdr:to>
      <xdr:col>22</xdr:col>
      <xdr:colOff>219074</xdr:colOff>
      <xdr:row>27</xdr:row>
      <xdr:rowOff>28574</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a:xfrm>
          <a:off x="10772775" y="3019425"/>
          <a:ext cx="2857499" cy="2152649"/>
        </a:xfrm>
        <a:prstGeom prst="rect">
          <a:avLst/>
        </a:prstGeom>
        <a:noFill/>
        <a:ln w="3810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276225</xdr:colOff>
      <xdr:row>29</xdr:row>
      <xdr:rowOff>85725</xdr:rowOff>
    </xdr:from>
    <xdr:to>
      <xdr:col>23</xdr:col>
      <xdr:colOff>161925</xdr:colOff>
      <xdr:row>37</xdr:row>
      <xdr:rowOff>66675</xdr:rowOff>
    </xdr:to>
    <xdr:sp macro="" textlink="">
      <xdr:nvSpPr>
        <xdr:cNvPr id="16" name="Line Callout 2 (Border and Accent Bar) 15">
          <a:extLst>
            <a:ext uri="{FF2B5EF4-FFF2-40B4-BE49-F238E27FC236}">
              <a16:creationId xmlns:a16="http://schemas.microsoft.com/office/drawing/2014/main" id="{00000000-0008-0000-0000-000010000000}"/>
            </a:ext>
          </a:extLst>
        </xdr:cNvPr>
        <xdr:cNvSpPr/>
      </xdr:nvSpPr>
      <xdr:spPr>
        <a:xfrm>
          <a:off x="8810625" y="5610225"/>
          <a:ext cx="2324100" cy="1504950"/>
        </a:xfrm>
        <a:prstGeom prst="accentBorderCallout2">
          <a:avLst>
            <a:gd name="adj1" fmla="val 29494"/>
            <a:gd name="adj2" fmla="val 112932"/>
            <a:gd name="adj3" fmla="val 29478"/>
            <a:gd name="adj4" fmla="val 132670"/>
            <a:gd name="adj5" fmla="val -6203"/>
            <a:gd name="adj6" fmla="val 166299"/>
          </a:avLst>
        </a:prstGeom>
        <a:solidFill>
          <a:srgbClr val="00B050"/>
        </a:solidFill>
        <a:ln w="38100">
          <a:solidFill>
            <a:srgbClr val="0070C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lt1"/>
              </a:solidFill>
              <a:effectLst/>
              <a:latin typeface="+mn-lt"/>
              <a:ea typeface="+mn-ea"/>
              <a:cs typeface="+mn-cs"/>
            </a:rPr>
            <a:t>Section owners could sign-off the content provided by typing "Y" and replicating across all rows. The color of the cell will change to green to acknowledge the change</a:t>
          </a:r>
        </a:p>
      </xdr:txBody>
    </xdr:sp>
    <xdr:clientData/>
  </xdr:twoCellAnchor>
  <xdr:twoCellAnchor>
    <xdr:from>
      <xdr:col>24</xdr:col>
      <xdr:colOff>333375</xdr:colOff>
      <xdr:row>13</xdr:row>
      <xdr:rowOff>152400</xdr:rowOff>
    </xdr:from>
    <xdr:to>
      <xdr:col>26</xdr:col>
      <xdr:colOff>485775</xdr:colOff>
      <xdr:row>28</xdr:row>
      <xdr:rowOff>161925</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14963775" y="2628900"/>
          <a:ext cx="1371600" cy="286702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603250</xdr:colOff>
          <xdr:row>12</xdr:row>
          <xdr:rowOff>107950</xdr:rowOff>
        </xdr:from>
        <xdr:to>
          <xdr:col>1</xdr:col>
          <xdr:colOff>565150</xdr:colOff>
          <xdr:row>13</xdr:row>
          <xdr:rowOff>152400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a:cs typeface="Calibri"/>
                </a:rPr>
                <a:t>Hide/Show Information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viljose\Documents\Tickets\HTML%20David+\MATs%20Done\MAT_HP%20ProBook%20430%20G5_(Ripper)_05-05-2017%20-%20Edi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IEW FIRST"/>
      <sheetName val="Template 1"/>
      <sheetName val="Template 2"/>
      <sheetName val="Metadata"/>
      <sheetName val="Test"/>
      <sheetName val="Change History"/>
      <sheetName val="Messaging &amp; Overview"/>
      <sheetName val="Tech Specs &amp; QS Features"/>
      <sheetName val="QS-Only System Unit"/>
      <sheetName val="QS-Only Displays"/>
      <sheetName val="QS-Only Storage"/>
      <sheetName val="QS-Only Network"/>
      <sheetName val="QS-Only Power"/>
      <sheetName val="QS-Environmental"/>
      <sheetName val="QS-Only Options"/>
      <sheetName val="MAT_HP ProBook 430 G5_(Ripper)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Sections" displayName="Sections" ref="AA1:AA6" totalsRowShown="0">
  <autoFilter ref="AA1:AA6" xr:uid="{00000000-0009-0000-0100-000002000000}"/>
  <tableColumns count="1">
    <tableColumn id="1" xr3:uid="{00000000-0010-0000-0000-000001000000}" name="Section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Types" displayName="TableTypes" ref="AC1:AC5" totalsRowShown="0">
  <autoFilter ref="AC1:AC5" xr:uid="{00000000-0009-0000-0100-000003000000}"/>
  <tableColumns count="1">
    <tableColumn id="1" xr3:uid="{00000000-0010-0000-0100-000001000000}" name="TableTyp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Settings" displayName="Settings" ref="AE1:AE2" totalsRowShown="0">
  <autoFilter ref="AE1:AE2" xr:uid="{00000000-0009-0000-0100-000001000000}"/>
  <tableColumns count="1">
    <tableColumn id="1" xr3:uid="{00000000-0010-0000-0200-000001000000}" name="Hidde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8.hp.com/us/en/ads/clientmanagement/overview.html" TargetMode="External"/><Relationship Id="rId1" Type="http://schemas.openxmlformats.org/officeDocument/2006/relationships/hyperlink" Target="http://www.hp.com/smart-support"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epeat.net/"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tabColor rgb="FFFF0000"/>
  </sheetPr>
  <dimension ref="A11:Q11"/>
  <sheetViews>
    <sheetView topLeftCell="N8" workbookViewId="0">
      <selection activeCell="AC15" sqref="AC15"/>
    </sheetView>
  </sheetViews>
  <sheetFormatPr defaultRowHeight="14.5"/>
  <cols>
    <col min="1" max="5" width="9.1796875" hidden="1" customWidth="1"/>
  </cols>
  <sheetData>
    <row r="11" spans="17:17">
      <c r="Q11" s="32" t="s">
        <v>0</v>
      </c>
    </row>
  </sheetData>
  <phoneticPr fontId="8"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32"/>
  <sheetViews>
    <sheetView zoomScaleNormal="100" workbookViewId="0">
      <selection activeCell="A4" sqref="A4:K32"/>
    </sheetView>
  </sheetViews>
  <sheetFormatPr defaultRowHeight="14.5"/>
  <cols>
    <col min="1" max="1" width="18.54296875" customWidth="1"/>
    <col min="2" max="2" width="21.453125" customWidth="1"/>
    <col min="3" max="3" width="18.54296875" customWidth="1"/>
    <col min="4" max="5" width="12.453125" customWidth="1"/>
    <col min="6" max="6" width="21" customWidth="1"/>
    <col min="7" max="7" width="64.54296875" customWidth="1"/>
    <col min="8" max="8" width="27.1796875" customWidth="1"/>
    <col min="9" max="9" width="12.1796875" customWidth="1"/>
    <col min="10" max="10" width="13.1796875" customWidth="1"/>
    <col min="11" max="11" width="19.54296875" customWidth="1"/>
  </cols>
  <sheetData>
    <row r="1" spans="1:11">
      <c r="C1" s="18"/>
      <c r="D1" s="18"/>
      <c r="E1" s="18"/>
      <c r="F1" s="8" t="s">
        <v>1</v>
      </c>
      <c r="G1" s="271" t="str">
        <f>IF(Metadata!B1="","No series name entered",Metadata!B1)</f>
        <v>HP EliteBook 865 164 inch G10 Notebook PC</v>
      </c>
      <c r="H1" s="271"/>
    </row>
    <row r="2" spans="1:11">
      <c r="F2" s="12" t="s">
        <v>2</v>
      </c>
      <c r="G2" s="272" t="s">
        <v>3</v>
      </c>
      <c r="H2" s="272"/>
    </row>
    <row r="4" spans="1:11" ht="29">
      <c r="A4" s="8" t="s">
        <v>4</v>
      </c>
      <c r="B4" s="8" t="s">
        <v>5</v>
      </c>
      <c r="C4" s="8" t="s">
        <v>6</v>
      </c>
      <c r="D4" s="8" t="s">
        <v>7</v>
      </c>
      <c r="E4" s="8" t="s">
        <v>8</v>
      </c>
      <c r="F4" s="8" t="s">
        <v>9</v>
      </c>
      <c r="G4" s="8" t="s">
        <v>10</v>
      </c>
      <c r="H4" s="8" t="s">
        <v>11</v>
      </c>
      <c r="I4" s="8" t="s">
        <v>12</v>
      </c>
      <c r="J4" s="8" t="s">
        <v>13</v>
      </c>
      <c r="K4" s="8" t="s">
        <v>14</v>
      </c>
    </row>
    <row r="5" spans="1:11">
      <c r="A5" s="9"/>
      <c r="B5" s="10" t="s">
        <v>15</v>
      </c>
      <c r="C5" s="10"/>
      <c r="D5" s="10" t="b">
        <v>0</v>
      </c>
      <c r="E5" s="10" t="b">
        <v>1</v>
      </c>
      <c r="F5" s="11" t="s">
        <v>16</v>
      </c>
      <c r="G5" s="11"/>
      <c r="H5" s="11"/>
      <c r="I5" s="11"/>
      <c r="J5" s="11"/>
      <c r="K5" s="11"/>
    </row>
    <row r="6" spans="1:11">
      <c r="A6" s="13"/>
      <c r="B6" s="14" t="s">
        <v>17</v>
      </c>
      <c r="C6" s="14"/>
      <c r="D6" s="14" t="b">
        <v>0</v>
      </c>
      <c r="E6" s="14" t="b">
        <v>1</v>
      </c>
      <c r="F6" s="15" t="s">
        <v>18</v>
      </c>
      <c r="G6" s="15"/>
      <c r="H6" s="15" t="s">
        <v>19</v>
      </c>
      <c r="I6" s="15"/>
      <c r="J6" s="41" t="s">
        <v>20</v>
      </c>
      <c r="K6" s="23"/>
    </row>
    <row r="7" spans="1:11">
      <c r="A7" s="5" t="b">
        <v>1</v>
      </c>
      <c r="B7" s="6" t="s">
        <v>21</v>
      </c>
      <c r="C7" s="6"/>
      <c r="D7" s="6" t="b">
        <v>0</v>
      </c>
      <c r="E7" s="6" t="b">
        <v>1</v>
      </c>
      <c r="F7" s="1" t="s">
        <v>22</v>
      </c>
      <c r="G7" s="1" t="s">
        <v>23</v>
      </c>
      <c r="H7" s="23"/>
      <c r="I7" s="1"/>
      <c r="J7" s="1"/>
      <c r="K7" s="23"/>
    </row>
    <row r="8" spans="1:11">
      <c r="A8" s="5" t="b">
        <v>1</v>
      </c>
      <c r="B8" s="6" t="s">
        <v>21</v>
      </c>
      <c r="C8" s="6"/>
      <c r="D8" s="6" t="b">
        <v>0</v>
      </c>
      <c r="E8" s="6" t="b">
        <v>1</v>
      </c>
      <c r="F8" s="1" t="s">
        <v>22</v>
      </c>
      <c r="G8" s="1" t="s">
        <v>23</v>
      </c>
      <c r="H8" s="23"/>
      <c r="I8" s="1"/>
      <c r="J8" s="1"/>
      <c r="K8" s="23"/>
    </row>
    <row r="9" spans="1:11">
      <c r="A9" s="5" t="b">
        <v>0</v>
      </c>
      <c r="B9" s="6" t="s">
        <v>24</v>
      </c>
      <c r="C9" s="6"/>
      <c r="D9" s="6" t="b">
        <v>0</v>
      </c>
      <c r="E9" s="6" t="b">
        <v>1</v>
      </c>
      <c r="F9" s="1" t="s">
        <v>25</v>
      </c>
      <c r="G9" s="1">
        <v>1</v>
      </c>
      <c r="H9" s="23"/>
      <c r="I9" s="1"/>
      <c r="J9" s="1"/>
      <c r="K9" s="23"/>
    </row>
    <row r="10" spans="1:11">
      <c r="A10" s="5" t="b">
        <v>0</v>
      </c>
      <c r="B10" s="6" t="s">
        <v>26</v>
      </c>
      <c r="C10" s="6"/>
      <c r="D10" s="6" t="b">
        <v>0</v>
      </c>
      <c r="E10" s="6" t="b">
        <v>1</v>
      </c>
      <c r="F10" s="1" t="s">
        <v>27</v>
      </c>
      <c r="G10" s="1"/>
      <c r="H10" s="23"/>
      <c r="I10" s="1"/>
      <c r="J10" s="1"/>
      <c r="K10" s="23"/>
    </row>
    <row r="11" spans="1:11">
      <c r="A11" s="5" t="b">
        <v>1</v>
      </c>
      <c r="B11" s="6" t="s">
        <v>28</v>
      </c>
      <c r="C11" s="6"/>
      <c r="D11" s="6" t="b">
        <v>0</v>
      </c>
      <c r="E11" s="6" t="b">
        <v>1</v>
      </c>
      <c r="F11" s="1" t="s">
        <v>29</v>
      </c>
      <c r="G11" s="1" t="s">
        <v>30</v>
      </c>
      <c r="H11" s="23"/>
      <c r="I11" s="1"/>
      <c r="J11" s="1"/>
      <c r="K11" s="23"/>
    </row>
    <row r="12" spans="1:11">
      <c r="A12" s="3"/>
      <c r="B12" s="4" t="s">
        <v>31</v>
      </c>
      <c r="C12" s="4"/>
      <c r="D12" s="4" t="b">
        <v>0</v>
      </c>
      <c r="E12" s="4" t="b">
        <v>1</v>
      </c>
      <c r="F12" s="7" t="s">
        <v>32</v>
      </c>
      <c r="G12" s="7"/>
      <c r="H12" s="7"/>
      <c r="I12" s="7"/>
      <c r="J12" s="7"/>
      <c r="K12" s="7"/>
    </row>
    <row r="13" spans="1:11">
      <c r="A13" s="5" t="b">
        <v>0</v>
      </c>
      <c r="B13" s="6" t="s">
        <v>33</v>
      </c>
      <c r="C13" s="6"/>
      <c r="D13" s="6" t="b">
        <v>0</v>
      </c>
      <c r="E13" s="6" t="b">
        <v>1</v>
      </c>
      <c r="F13" s="1" t="s">
        <v>34</v>
      </c>
      <c r="G13" s="42"/>
      <c r="H13" s="23"/>
      <c r="I13" s="1"/>
      <c r="J13" s="41" t="s">
        <v>20</v>
      </c>
      <c r="K13" s="23"/>
    </row>
    <row r="14" spans="1:11">
      <c r="A14" s="5" t="b">
        <v>1</v>
      </c>
      <c r="B14" s="6" t="s">
        <v>35</v>
      </c>
      <c r="C14" s="6"/>
      <c r="D14" s="6" t="b">
        <v>0</v>
      </c>
      <c r="E14" s="6" t="b">
        <v>1</v>
      </c>
      <c r="F14" s="1"/>
      <c r="G14" s="42"/>
      <c r="H14" s="23"/>
      <c r="I14" s="1"/>
      <c r="J14" s="41" t="s">
        <v>20</v>
      </c>
      <c r="K14" s="23"/>
    </row>
    <row r="15" spans="1:11">
      <c r="A15" s="5" t="b">
        <v>0</v>
      </c>
      <c r="B15" s="6" t="s">
        <v>35</v>
      </c>
      <c r="C15" s="6"/>
      <c r="D15" s="6" t="b">
        <v>0</v>
      </c>
      <c r="E15" s="6" t="b">
        <v>1</v>
      </c>
      <c r="F15" s="1"/>
      <c r="G15" s="42"/>
      <c r="H15" s="23"/>
      <c r="I15" s="1"/>
      <c r="J15" s="41" t="s">
        <v>20</v>
      </c>
      <c r="K15" s="23"/>
    </row>
    <row r="16" spans="1:11">
      <c r="A16" s="5" t="b">
        <v>0</v>
      </c>
      <c r="B16" s="6" t="s">
        <v>35</v>
      </c>
      <c r="C16" s="6"/>
      <c r="D16" s="6" t="b">
        <v>0</v>
      </c>
      <c r="E16" s="6" t="b">
        <v>1</v>
      </c>
      <c r="F16" s="1"/>
      <c r="G16" s="42"/>
      <c r="H16" s="23"/>
      <c r="I16" s="1"/>
      <c r="J16" s="41" t="s">
        <v>20</v>
      </c>
      <c r="K16" s="23"/>
    </row>
    <row r="17" spans="1:11">
      <c r="A17" s="5" t="b">
        <v>0</v>
      </c>
      <c r="B17" s="6" t="s">
        <v>35</v>
      </c>
      <c r="C17" s="6"/>
      <c r="D17" s="6" t="b">
        <v>0</v>
      </c>
      <c r="E17" s="6" t="b">
        <v>1</v>
      </c>
      <c r="F17" s="1"/>
      <c r="G17" s="42"/>
      <c r="H17" s="23"/>
      <c r="I17" s="1"/>
      <c r="J17" s="41" t="s">
        <v>20</v>
      </c>
      <c r="K17" s="23"/>
    </row>
    <row r="18" spans="1:11">
      <c r="A18" s="5" t="b">
        <v>0</v>
      </c>
      <c r="B18" s="6" t="s">
        <v>35</v>
      </c>
      <c r="C18" s="6"/>
      <c r="D18" s="6" t="b">
        <v>0</v>
      </c>
      <c r="E18" s="6" t="b">
        <v>1</v>
      </c>
      <c r="F18" s="1"/>
      <c r="G18" s="42"/>
      <c r="H18" s="23"/>
      <c r="I18" s="1"/>
      <c r="J18" s="41" t="s">
        <v>20</v>
      </c>
      <c r="K18" s="23"/>
    </row>
    <row r="19" spans="1:11">
      <c r="A19" s="5" t="b">
        <v>0</v>
      </c>
      <c r="B19" s="6" t="s">
        <v>35</v>
      </c>
      <c r="C19" s="6"/>
      <c r="D19" s="6" t="b">
        <v>0</v>
      </c>
      <c r="E19" s="6" t="b">
        <v>1</v>
      </c>
      <c r="F19" s="1"/>
      <c r="G19" s="42"/>
      <c r="H19" s="23"/>
      <c r="I19" s="1"/>
      <c r="J19" s="41" t="s">
        <v>20</v>
      </c>
      <c r="K19" s="23"/>
    </row>
    <row r="20" spans="1:11">
      <c r="A20" s="5" t="b">
        <v>0</v>
      </c>
      <c r="B20" s="6" t="s">
        <v>35</v>
      </c>
      <c r="C20" s="6"/>
      <c r="D20" s="6" t="b">
        <v>0</v>
      </c>
      <c r="E20" s="6" t="b">
        <v>1</v>
      </c>
      <c r="F20" s="1"/>
      <c r="G20" s="42"/>
      <c r="H20" s="23"/>
      <c r="I20" s="1"/>
      <c r="J20" s="41" t="s">
        <v>20</v>
      </c>
      <c r="K20" s="23"/>
    </row>
    <row r="21" spans="1:11">
      <c r="A21" s="5" t="b">
        <v>0</v>
      </c>
      <c r="B21" s="6" t="s">
        <v>33</v>
      </c>
      <c r="C21" s="6"/>
      <c r="D21" s="6" t="b">
        <v>0</v>
      </c>
      <c r="E21" s="6" t="b">
        <v>1</v>
      </c>
      <c r="F21" s="1" t="s">
        <v>34</v>
      </c>
      <c r="G21" s="42"/>
      <c r="H21" s="23"/>
      <c r="I21" s="1"/>
      <c r="J21" s="41" t="s">
        <v>20</v>
      </c>
      <c r="K21" s="23"/>
    </row>
    <row r="22" spans="1:11">
      <c r="A22" s="5" t="b">
        <v>0</v>
      </c>
      <c r="B22" s="6" t="s">
        <v>35</v>
      </c>
      <c r="C22" s="6"/>
      <c r="D22" s="6" t="b">
        <v>0</v>
      </c>
      <c r="E22" s="6" t="b">
        <v>1</v>
      </c>
      <c r="F22" s="1"/>
      <c r="G22" s="42"/>
      <c r="H22" s="23"/>
      <c r="I22" s="1"/>
      <c r="J22" s="41" t="s">
        <v>20</v>
      </c>
      <c r="K22" s="23"/>
    </row>
    <row r="23" spans="1:11">
      <c r="A23" s="5" t="b">
        <v>0</v>
      </c>
      <c r="B23" s="6" t="s">
        <v>35</v>
      </c>
      <c r="C23" s="6"/>
      <c r="D23" s="6" t="b">
        <v>0</v>
      </c>
      <c r="E23" s="6" t="b">
        <v>1</v>
      </c>
      <c r="F23" s="1"/>
      <c r="G23" s="42"/>
      <c r="H23" s="23"/>
      <c r="I23" s="1"/>
      <c r="J23" s="41" t="s">
        <v>20</v>
      </c>
      <c r="K23" s="23"/>
    </row>
    <row r="24" spans="1:11">
      <c r="A24" s="5" t="b">
        <v>0</v>
      </c>
      <c r="B24" s="6" t="s">
        <v>35</v>
      </c>
      <c r="C24" s="6"/>
      <c r="D24" s="6" t="b">
        <v>0</v>
      </c>
      <c r="E24" s="6" t="b">
        <v>1</v>
      </c>
      <c r="F24" s="1"/>
      <c r="G24" s="42"/>
      <c r="H24" s="23"/>
      <c r="I24" s="1"/>
      <c r="J24" s="41" t="s">
        <v>20</v>
      </c>
      <c r="K24" s="23"/>
    </row>
    <row r="25" spans="1:11">
      <c r="A25" s="5" t="b">
        <v>0</v>
      </c>
      <c r="B25" s="6" t="s">
        <v>35</v>
      </c>
      <c r="C25" s="6"/>
      <c r="D25" s="6" t="b">
        <v>0</v>
      </c>
      <c r="E25" s="6" t="b">
        <v>1</v>
      </c>
      <c r="F25" s="1"/>
      <c r="G25" s="42"/>
      <c r="H25" s="23"/>
      <c r="I25" s="1"/>
      <c r="J25" s="41" t="s">
        <v>20</v>
      </c>
      <c r="K25" s="23"/>
    </row>
    <row r="26" spans="1:11">
      <c r="A26" s="3"/>
      <c r="B26" s="4" t="s">
        <v>36</v>
      </c>
      <c r="C26" s="4"/>
      <c r="D26" s="4" t="b">
        <v>0</v>
      </c>
      <c r="E26" s="4" t="b">
        <v>1</v>
      </c>
      <c r="F26" s="7" t="s">
        <v>37</v>
      </c>
      <c r="G26" s="7"/>
      <c r="H26" s="7"/>
      <c r="I26" s="7"/>
      <c r="J26" s="7"/>
      <c r="K26" s="7"/>
    </row>
    <row r="27" spans="1:11">
      <c r="A27" s="5" t="b">
        <v>0</v>
      </c>
      <c r="B27" s="6" t="s">
        <v>38</v>
      </c>
      <c r="C27" s="6"/>
      <c r="D27" s="6" t="b">
        <v>0</v>
      </c>
      <c r="E27" s="6" t="b">
        <v>1</v>
      </c>
      <c r="F27" s="1"/>
      <c r="G27" s="42"/>
      <c r="H27" s="23"/>
      <c r="I27" s="1"/>
      <c r="J27" s="41" t="s">
        <v>20</v>
      </c>
      <c r="K27" s="23"/>
    </row>
    <row r="28" spans="1:11">
      <c r="A28" s="5" t="b">
        <v>0</v>
      </c>
      <c r="B28" s="6" t="s">
        <v>38</v>
      </c>
      <c r="C28" s="6"/>
      <c r="D28" s="6" t="b">
        <v>0</v>
      </c>
      <c r="E28" s="6" t="b">
        <v>1</v>
      </c>
      <c r="F28" s="1"/>
      <c r="G28" s="42"/>
      <c r="H28" s="23"/>
      <c r="I28" s="1"/>
      <c r="J28" s="41" t="s">
        <v>20</v>
      </c>
      <c r="K28" s="23"/>
    </row>
    <row r="29" spans="1:11">
      <c r="A29" s="3"/>
      <c r="B29" s="4" t="s">
        <v>39</v>
      </c>
      <c r="C29" s="4"/>
      <c r="D29" s="4" t="b">
        <v>0</v>
      </c>
      <c r="E29" s="4" t="b">
        <v>1</v>
      </c>
      <c r="F29" s="7" t="s">
        <v>40</v>
      </c>
      <c r="G29" s="7"/>
      <c r="H29" s="7"/>
      <c r="I29" s="7"/>
      <c r="J29" s="7"/>
      <c r="K29" s="7"/>
    </row>
    <row r="30" spans="1:11">
      <c r="A30" s="5" t="b">
        <v>0</v>
      </c>
      <c r="B30" s="6" t="s">
        <v>41</v>
      </c>
      <c r="C30" s="6"/>
      <c r="D30" s="6" t="b">
        <v>0</v>
      </c>
      <c r="E30" s="6" t="b">
        <v>1</v>
      </c>
      <c r="F30" s="1"/>
      <c r="G30" s="42"/>
      <c r="H30" s="23"/>
      <c r="I30" s="1"/>
      <c r="J30" s="41" t="s">
        <v>20</v>
      </c>
      <c r="K30" s="23"/>
    </row>
    <row r="31" spans="1:11">
      <c r="A31" s="5" t="b">
        <v>0</v>
      </c>
      <c r="B31" s="6" t="s">
        <v>41</v>
      </c>
      <c r="C31" s="6"/>
      <c r="D31" s="6" t="b">
        <v>0</v>
      </c>
      <c r="E31" s="6" t="b">
        <v>1</v>
      </c>
      <c r="F31" s="1"/>
      <c r="G31" s="42"/>
      <c r="H31" s="23"/>
      <c r="I31" s="1"/>
      <c r="J31" s="41" t="s">
        <v>20</v>
      </c>
      <c r="K31" s="23"/>
    </row>
    <row r="32" spans="1:11">
      <c r="A32" s="5" t="b">
        <v>0</v>
      </c>
      <c r="B32" s="6" t="s">
        <v>41</v>
      </c>
      <c r="C32" s="6"/>
      <c r="D32" s="6" t="b">
        <v>0</v>
      </c>
      <c r="E32" s="6" t="b">
        <v>1</v>
      </c>
      <c r="F32" s="1"/>
      <c r="G32" s="42"/>
      <c r="H32" s="23"/>
      <c r="I32" s="1"/>
      <c r="J32" s="41" t="s">
        <v>20</v>
      </c>
      <c r="K32" s="23"/>
    </row>
  </sheetData>
  <mergeCells count="2">
    <mergeCell ref="G1:H1"/>
    <mergeCell ref="G2:H2"/>
  </mergeCells>
  <phoneticPr fontId="8" type="noConversion"/>
  <conditionalFormatting sqref="J13:J25">
    <cfRule type="cellIs" dxfId="197" priority="4" operator="equal">
      <formula>"Y"</formula>
    </cfRule>
  </conditionalFormatting>
  <conditionalFormatting sqref="J27:J28">
    <cfRule type="cellIs" dxfId="196" priority="3" operator="equal">
      <formula>"Y"</formula>
    </cfRule>
  </conditionalFormatting>
  <conditionalFormatting sqref="J30:J32">
    <cfRule type="cellIs" dxfId="195" priority="2" operator="equal">
      <formula>"Y"</formula>
    </cfRule>
  </conditionalFormatting>
  <conditionalFormatting sqref="J6">
    <cfRule type="cellIs" dxfId="194" priority="1" operator="equal">
      <formula>"Y"</formula>
    </cfRule>
  </conditionalFormatting>
  <dataValidations count="3">
    <dataValidation type="list" allowBlank="1" showInputMessage="1" showErrorMessage="1" sqref="C2:E2 G2:H2" xr:uid="{00000000-0002-0000-0100-000000000000}">
      <formula1>SectionNames</formula1>
    </dataValidation>
    <dataValidation type="list" allowBlank="1" showInputMessage="1" showErrorMessage="1" sqref="G11" xr:uid="{00000000-0002-0000-0100-000001000000}">
      <formula1>"None,Numbered,Bullets"</formula1>
    </dataValidation>
    <dataValidation type="list" allowBlank="1" showInputMessage="1" showErrorMessage="1" sqref="G7:G8" xr:uid="{00000000-0002-0000-0100-000002000000}">
      <formula1>TableTypeNames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F1:K10"/>
  <sheetViews>
    <sheetView workbookViewId="0">
      <selection activeCell="D8" sqref="D8"/>
    </sheetView>
  </sheetViews>
  <sheetFormatPr defaultRowHeight="14.5"/>
  <cols>
    <col min="1" max="5" width="18.54296875" customWidth="1"/>
    <col min="6" max="6" width="17.54296875" bestFit="1" customWidth="1"/>
    <col min="7" max="8" width="23.81640625" customWidth="1"/>
    <col min="9" max="9" width="16.1796875" customWidth="1"/>
    <col min="10" max="10" width="12.54296875" customWidth="1"/>
    <col min="11" max="11" width="18.81640625" customWidth="1"/>
    <col min="14" max="16" width="0" hidden="1" customWidth="1"/>
  </cols>
  <sheetData>
    <row r="1" spans="6:11">
      <c r="F1" s="8" t="s">
        <v>1</v>
      </c>
      <c r="G1" s="271" t="str">
        <f>IF(Metadata!B1="","No series name entered",Metadata!B1)</f>
        <v>HP EliteBook 865 164 inch G10 Notebook PC</v>
      </c>
      <c r="H1" s="271"/>
    </row>
    <row r="2" spans="6:11">
      <c r="F2" s="12" t="s">
        <v>2</v>
      </c>
      <c r="G2" s="272" t="s">
        <v>42</v>
      </c>
      <c r="H2" s="272"/>
    </row>
    <row r="3" spans="6:11">
      <c r="F3" s="12" t="s">
        <v>43</v>
      </c>
      <c r="G3" s="275" t="s">
        <v>44</v>
      </c>
      <c r="H3" s="275"/>
    </row>
    <row r="4" spans="6:11">
      <c r="F4" s="161" t="s">
        <v>45</v>
      </c>
      <c r="G4" s="273"/>
      <c r="H4" s="273"/>
      <c r="I4" s="273"/>
      <c r="J4" s="161"/>
      <c r="K4" s="161"/>
    </row>
    <row r="5" spans="6:11">
      <c r="F5" s="162" t="s">
        <v>46</v>
      </c>
      <c r="G5" s="274"/>
      <c r="H5" s="274"/>
      <c r="I5" s="274"/>
      <c r="J5" s="162"/>
      <c r="K5" s="162"/>
    </row>
    <row r="6" spans="6:11" ht="29">
      <c r="F6" s="16" t="s">
        <v>47</v>
      </c>
      <c r="G6" s="16" t="s">
        <v>47</v>
      </c>
      <c r="H6" s="16" t="s">
        <v>47</v>
      </c>
      <c r="I6" s="16" t="s">
        <v>47</v>
      </c>
      <c r="J6" s="29" t="s">
        <v>48</v>
      </c>
      <c r="K6" s="29" t="s">
        <v>14</v>
      </c>
    </row>
    <row r="7" spans="6:11">
      <c r="F7" s="17"/>
      <c r="G7" s="17"/>
      <c r="H7" s="17"/>
      <c r="I7" s="17"/>
      <c r="J7" s="41" t="s">
        <v>20</v>
      </c>
      <c r="K7" s="23"/>
    </row>
    <row r="8" spans="6:11">
      <c r="F8" s="17"/>
      <c r="G8" s="17"/>
      <c r="H8" s="17"/>
      <c r="I8" s="17"/>
      <c r="J8" s="41" t="s">
        <v>20</v>
      </c>
      <c r="K8" s="23"/>
    </row>
    <row r="9" spans="6:11">
      <c r="F9" s="17"/>
      <c r="G9" s="17"/>
      <c r="H9" s="17"/>
      <c r="I9" s="17"/>
      <c r="J9" s="41" t="s">
        <v>20</v>
      </c>
      <c r="K9" s="23"/>
    </row>
    <row r="10" spans="6:11">
      <c r="F10" s="17"/>
      <c r="G10" s="17"/>
      <c r="H10" s="17"/>
      <c r="I10" s="17"/>
      <c r="J10" s="41" t="s">
        <v>20</v>
      </c>
      <c r="K10" s="23"/>
    </row>
  </sheetData>
  <mergeCells count="5">
    <mergeCell ref="G1:H1"/>
    <mergeCell ref="G2:H2"/>
    <mergeCell ref="G4:I4"/>
    <mergeCell ref="G5:I5"/>
    <mergeCell ref="G3:H3"/>
  </mergeCells>
  <phoneticPr fontId="8" type="noConversion"/>
  <conditionalFormatting sqref="J7:J10">
    <cfRule type="cellIs" dxfId="193" priority="1" operator="equal">
      <formula>"Y"</formula>
    </cfRule>
  </conditionalFormatting>
  <dataValidations count="1">
    <dataValidation type="list" allowBlank="1" showInputMessage="1" showErrorMessage="1" sqref="G2" xr:uid="{00000000-0002-0000-0200-000000000000}">
      <formula1>SectionNames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sMetadata">
    <tabColor theme="3"/>
  </sheetPr>
  <dimension ref="A1:AE12"/>
  <sheetViews>
    <sheetView workbookViewId="0">
      <selection activeCell="C6" sqref="C6"/>
    </sheetView>
  </sheetViews>
  <sheetFormatPr defaultRowHeight="14.5"/>
  <cols>
    <col min="1" max="1" width="24.54296875" customWidth="1"/>
    <col min="2" max="2" width="15.54296875" customWidth="1"/>
    <col min="3" max="3" width="9.1796875" customWidth="1"/>
    <col min="4" max="4" width="8.81640625" customWidth="1"/>
    <col min="5" max="5" width="22.54296875" customWidth="1"/>
    <col min="6" max="6" width="31.81640625" customWidth="1"/>
    <col min="7" max="23" width="9.1796875" customWidth="1"/>
    <col min="27" max="27" width="22.453125" bestFit="1" customWidth="1"/>
    <col min="29" max="29" width="30.1796875" bestFit="1" customWidth="1"/>
    <col min="31" max="31" width="10.453125" customWidth="1"/>
  </cols>
  <sheetData>
    <row r="1" spans="1:31">
      <c r="A1" s="132" t="s">
        <v>49</v>
      </c>
      <c r="B1" s="54" t="s">
        <v>50</v>
      </c>
      <c r="AA1" t="s">
        <v>51</v>
      </c>
      <c r="AC1" t="s">
        <v>52</v>
      </c>
      <c r="AE1" t="s">
        <v>53</v>
      </c>
    </row>
    <row r="2" spans="1:31">
      <c r="A2" s="132" t="s">
        <v>54</v>
      </c>
      <c r="B2" s="54" t="s">
        <v>55</v>
      </c>
      <c r="AA2" t="s">
        <v>56</v>
      </c>
      <c r="AC2" t="s">
        <v>57</v>
      </c>
      <c r="AE2" t="b">
        <v>1</v>
      </c>
    </row>
    <row r="3" spans="1:31">
      <c r="A3" s="132" t="s">
        <v>58</v>
      </c>
      <c r="B3" s="54">
        <v>0</v>
      </c>
      <c r="AA3" t="s">
        <v>59</v>
      </c>
      <c r="AC3" t="s">
        <v>60</v>
      </c>
    </row>
    <row r="4" spans="1:31">
      <c r="A4" s="132" t="s">
        <v>61</v>
      </c>
      <c r="B4" s="54">
        <v>0</v>
      </c>
      <c r="AA4" t="s">
        <v>3</v>
      </c>
      <c r="AC4" t="s">
        <v>62</v>
      </c>
    </row>
    <row r="5" spans="1:31">
      <c r="A5" s="130" t="s">
        <v>63</v>
      </c>
      <c r="B5" s="54">
        <v>1</v>
      </c>
      <c r="AA5" t="s">
        <v>42</v>
      </c>
      <c r="AC5" t="s">
        <v>23</v>
      </c>
    </row>
    <row r="6" spans="1:31">
      <c r="A6" s="49"/>
      <c r="B6" s="49"/>
      <c r="AA6" t="s">
        <v>64</v>
      </c>
    </row>
    <row r="7" spans="1:31" ht="29">
      <c r="A7" s="130" t="s">
        <v>65</v>
      </c>
      <c r="B7" s="54" t="s">
        <v>66</v>
      </c>
      <c r="E7" s="130" t="s">
        <v>67</v>
      </c>
      <c r="F7" s="71"/>
    </row>
    <row r="8" spans="1:31">
      <c r="A8" s="130" t="s">
        <v>68</v>
      </c>
      <c r="B8" s="54" t="s">
        <v>69</v>
      </c>
      <c r="E8" s="130" t="s">
        <v>70</v>
      </c>
      <c r="F8" s="1"/>
    </row>
    <row r="9" spans="1:31" ht="43.5">
      <c r="A9" s="133" t="s">
        <v>71</v>
      </c>
      <c r="B9" s="54" t="s">
        <v>72</v>
      </c>
      <c r="E9" s="131" t="s">
        <v>73</v>
      </c>
      <c r="F9" s="71"/>
    </row>
    <row r="10" spans="1:31">
      <c r="A10" s="19" t="s">
        <v>74</v>
      </c>
      <c r="B10" s="1"/>
    </row>
    <row r="12" spans="1:31">
      <c r="A12" s="2" t="s">
        <v>75</v>
      </c>
      <c r="B12" s="1" t="b">
        <v>0</v>
      </c>
    </row>
  </sheetData>
  <phoneticPr fontId="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isplayInfo">
                <anchor moveWithCells="1">
                  <from>
                    <xdr:col>0</xdr:col>
                    <xdr:colOff>603250</xdr:colOff>
                    <xdr:row>12</xdr:row>
                    <xdr:rowOff>107950</xdr:rowOff>
                  </from>
                  <to>
                    <xdr:col>1</xdr:col>
                    <xdr:colOff>565150</xdr:colOff>
                    <xdr:row>13</xdr:row>
                    <xdr:rowOff>152400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H31"/>
  <sheetViews>
    <sheetView topLeftCell="F1" workbookViewId="0">
      <selection activeCell="G20" sqref="G20"/>
    </sheetView>
  </sheetViews>
  <sheetFormatPr defaultRowHeight="14.5"/>
  <cols>
    <col min="1" max="1" width="11.1796875" hidden="1" customWidth="1"/>
    <col min="2" max="2" width="14.1796875" hidden="1" customWidth="1"/>
    <col min="3" max="3" width="12.81640625" hidden="1" customWidth="1"/>
    <col min="4" max="4" width="9.1796875" hidden="1" customWidth="1"/>
    <col min="5" max="5" width="13.1796875" hidden="1" customWidth="1"/>
    <col min="6" max="6" width="26.54296875" customWidth="1"/>
    <col min="7" max="7" width="47.1796875" customWidth="1"/>
    <col min="8" max="8" width="44.81640625" bestFit="1" customWidth="1"/>
  </cols>
  <sheetData>
    <row r="1" spans="1:8">
      <c r="C1" s="18"/>
      <c r="D1" s="18"/>
      <c r="E1" s="18"/>
      <c r="F1" s="8" t="s">
        <v>1</v>
      </c>
      <c r="G1" s="271" t="str">
        <f>IF(Metadata!B1="","No series name entered",Metadata!B1)</f>
        <v>HP EliteBook 865 164 inch G10 Notebook PC</v>
      </c>
      <c r="H1" s="271"/>
    </row>
    <row r="2" spans="1:8">
      <c r="F2" s="12" t="s">
        <v>2</v>
      </c>
      <c r="G2" s="272" t="s">
        <v>3</v>
      </c>
      <c r="H2" s="272"/>
    </row>
    <row r="4" spans="1:8">
      <c r="A4" s="8" t="s">
        <v>4</v>
      </c>
      <c r="B4" s="8" t="s">
        <v>5</v>
      </c>
      <c r="C4" s="8" t="s">
        <v>6</v>
      </c>
      <c r="D4" s="8" t="s">
        <v>76</v>
      </c>
      <c r="E4" s="8" t="s">
        <v>77</v>
      </c>
      <c r="F4" s="8" t="s">
        <v>9</v>
      </c>
      <c r="G4" s="8" t="s">
        <v>10</v>
      </c>
      <c r="H4" s="8" t="s">
        <v>78</v>
      </c>
    </row>
    <row r="5" spans="1:8">
      <c r="A5" s="9"/>
      <c r="B5" s="10" t="s">
        <v>15</v>
      </c>
      <c r="C5" s="10"/>
      <c r="D5" s="10" t="b">
        <v>0</v>
      </c>
      <c r="E5" s="10" t="b">
        <v>1</v>
      </c>
      <c r="F5" s="11" t="s">
        <v>79</v>
      </c>
      <c r="G5" s="11"/>
      <c r="H5" s="11"/>
    </row>
    <row r="6" spans="1:8">
      <c r="A6" s="13"/>
      <c r="B6" s="14" t="s">
        <v>17</v>
      </c>
      <c r="C6" s="14"/>
      <c r="D6" s="14" t="b">
        <v>0</v>
      </c>
      <c r="E6" s="14" t="b">
        <v>1</v>
      </c>
      <c r="F6" s="15" t="s">
        <v>18</v>
      </c>
      <c r="G6" s="15"/>
      <c r="H6" s="15"/>
    </row>
    <row r="7" spans="1:8" hidden="1">
      <c r="A7" s="5" t="b">
        <v>1</v>
      </c>
      <c r="B7" s="6" t="s">
        <v>21</v>
      </c>
      <c r="C7" s="6"/>
      <c r="D7" s="6" t="b">
        <v>0</v>
      </c>
      <c r="E7" s="6" t="b">
        <v>1</v>
      </c>
      <c r="F7" s="1" t="s">
        <v>22</v>
      </c>
      <c r="G7" s="1" t="s">
        <v>23</v>
      </c>
      <c r="H7" s="1"/>
    </row>
    <row r="8" spans="1:8" hidden="1">
      <c r="A8" s="5" t="b">
        <v>0</v>
      </c>
      <c r="B8" s="6" t="s">
        <v>24</v>
      </c>
      <c r="C8" s="6"/>
      <c r="D8" s="6" t="b">
        <v>0</v>
      </c>
      <c r="E8" s="6" t="b">
        <v>1</v>
      </c>
      <c r="F8" s="1" t="s">
        <v>25</v>
      </c>
      <c r="G8" s="1">
        <v>1</v>
      </c>
      <c r="H8" s="1"/>
    </row>
    <row r="9" spans="1:8" hidden="1">
      <c r="A9" s="5" t="b">
        <v>0</v>
      </c>
      <c r="B9" s="6" t="s">
        <v>26</v>
      </c>
      <c r="C9" s="6"/>
      <c r="D9" s="6" t="b">
        <v>0</v>
      </c>
      <c r="E9" s="6" t="b">
        <v>1</v>
      </c>
      <c r="F9" s="1" t="s">
        <v>27</v>
      </c>
      <c r="G9" s="1"/>
      <c r="H9" s="1"/>
    </row>
    <row r="10" spans="1:8" hidden="1">
      <c r="A10" s="5" t="b">
        <v>1</v>
      </c>
      <c r="B10" s="6" t="s">
        <v>28</v>
      </c>
      <c r="C10" s="6"/>
      <c r="D10" s="6" t="b">
        <v>0</v>
      </c>
      <c r="E10" s="6" t="b">
        <v>1</v>
      </c>
      <c r="F10" s="1" t="s">
        <v>29</v>
      </c>
      <c r="G10" s="1" t="s">
        <v>30</v>
      </c>
      <c r="H10" s="1"/>
    </row>
    <row r="11" spans="1:8" hidden="1">
      <c r="A11" s="3"/>
      <c r="B11" s="4" t="s">
        <v>31</v>
      </c>
      <c r="C11" s="4"/>
      <c r="D11" s="4" t="b">
        <v>0</v>
      </c>
      <c r="E11" s="4" t="b">
        <v>1</v>
      </c>
      <c r="F11" s="7" t="s">
        <v>32</v>
      </c>
      <c r="G11" s="7"/>
      <c r="H11" s="7"/>
    </row>
    <row r="12" spans="1:8">
      <c r="A12" s="5" t="b">
        <v>0</v>
      </c>
      <c r="B12" s="6" t="s">
        <v>33</v>
      </c>
      <c r="C12" s="6"/>
      <c r="D12" s="6" t="b">
        <v>0</v>
      </c>
      <c r="E12" s="6" t="b">
        <v>1</v>
      </c>
      <c r="F12" s="1" t="s">
        <v>34</v>
      </c>
      <c r="G12" s="1"/>
      <c r="H12" s="1"/>
    </row>
    <row r="13" spans="1:8">
      <c r="A13" s="5" t="b">
        <v>1</v>
      </c>
      <c r="B13" s="6" t="s">
        <v>35</v>
      </c>
      <c r="C13" s="6"/>
      <c r="D13" s="6" t="b">
        <v>0</v>
      </c>
      <c r="E13" s="6" t="b">
        <v>1</v>
      </c>
      <c r="F13" s="1"/>
      <c r="G13" s="1"/>
      <c r="H13" s="1"/>
    </row>
    <row r="14" spans="1:8">
      <c r="A14" s="5" t="b">
        <v>0</v>
      </c>
      <c r="B14" s="6" t="s">
        <v>35</v>
      </c>
      <c r="C14" s="6"/>
      <c r="D14" s="6" t="b">
        <v>0</v>
      </c>
      <c r="E14" s="6" t="b">
        <v>1</v>
      </c>
      <c r="F14" s="1"/>
      <c r="G14" s="1"/>
      <c r="H14" s="1"/>
    </row>
    <row r="15" spans="1:8">
      <c r="A15" s="5" t="b">
        <v>0</v>
      </c>
      <c r="B15" s="6" t="s">
        <v>35</v>
      </c>
      <c r="C15" s="6"/>
      <c r="D15" s="6" t="b">
        <v>0</v>
      </c>
      <c r="E15" s="6" t="b">
        <v>1</v>
      </c>
      <c r="F15" s="1"/>
      <c r="G15" s="1"/>
      <c r="H15" s="1"/>
    </row>
    <row r="16" spans="1:8">
      <c r="A16" s="5" t="b">
        <v>0</v>
      </c>
      <c r="B16" s="6" t="s">
        <v>35</v>
      </c>
      <c r="C16" s="6"/>
      <c r="D16" s="6" t="b">
        <v>0</v>
      </c>
      <c r="E16" s="6" t="b">
        <v>1</v>
      </c>
      <c r="F16" s="1"/>
      <c r="G16" s="1"/>
      <c r="H16" s="1"/>
    </row>
    <row r="17" spans="1:8">
      <c r="A17" s="5" t="b">
        <v>0</v>
      </c>
      <c r="B17" s="6" t="s">
        <v>35</v>
      </c>
      <c r="C17" s="6"/>
      <c r="D17" s="6" t="b">
        <v>0</v>
      </c>
      <c r="E17" s="6" t="b">
        <v>1</v>
      </c>
      <c r="F17" s="1"/>
      <c r="G17" s="1"/>
      <c r="H17" s="1"/>
    </row>
    <row r="18" spans="1:8">
      <c r="A18" s="5" t="b">
        <v>0</v>
      </c>
      <c r="B18" s="6" t="s">
        <v>35</v>
      </c>
      <c r="C18" s="6"/>
      <c r="D18" s="6" t="b">
        <v>0</v>
      </c>
      <c r="E18" s="6" t="b">
        <v>1</v>
      </c>
      <c r="F18" s="1"/>
      <c r="G18" s="1"/>
      <c r="H18" s="1"/>
    </row>
    <row r="19" spans="1:8">
      <c r="A19" s="5" t="b">
        <v>0</v>
      </c>
      <c r="B19" s="6" t="s">
        <v>35</v>
      </c>
      <c r="C19" s="6"/>
      <c r="D19" s="6" t="b">
        <v>0</v>
      </c>
      <c r="E19" s="6" t="b">
        <v>1</v>
      </c>
      <c r="F19" s="1"/>
      <c r="G19" s="1"/>
      <c r="H19" s="1"/>
    </row>
    <row r="20" spans="1:8">
      <c r="A20" s="5" t="b">
        <v>0</v>
      </c>
      <c r="B20" s="6" t="s">
        <v>33</v>
      </c>
      <c r="C20" s="6"/>
      <c r="D20" s="6" t="b">
        <v>0</v>
      </c>
      <c r="E20" s="6" t="b">
        <v>1</v>
      </c>
      <c r="F20" s="1" t="s">
        <v>34</v>
      </c>
      <c r="G20" s="1"/>
      <c r="H20" s="1"/>
    </row>
    <row r="21" spans="1:8">
      <c r="A21" s="5" t="b">
        <v>0</v>
      </c>
      <c r="B21" s="6" t="s">
        <v>35</v>
      </c>
      <c r="C21" s="6"/>
      <c r="D21" s="6" t="b">
        <v>0</v>
      </c>
      <c r="E21" s="6" t="b">
        <v>1</v>
      </c>
      <c r="F21" s="1"/>
      <c r="G21" s="1"/>
      <c r="H21" s="1"/>
    </row>
    <row r="22" spans="1:8">
      <c r="A22" s="5" t="b">
        <v>0</v>
      </c>
      <c r="B22" s="6" t="s">
        <v>35</v>
      </c>
      <c r="C22" s="6"/>
      <c r="D22" s="6" t="b">
        <v>0</v>
      </c>
      <c r="E22" s="6" t="b">
        <v>1</v>
      </c>
      <c r="F22" s="1"/>
      <c r="G22" s="1"/>
      <c r="H22" s="1"/>
    </row>
    <row r="23" spans="1:8">
      <c r="A23" s="5" t="b">
        <v>0</v>
      </c>
      <c r="B23" s="6" t="s">
        <v>35</v>
      </c>
      <c r="C23" s="6"/>
      <c r="D23" s="6" t="b">
        <v>0</v>
      </c>
      <c r="E23" s="6" t="b">
        <v>1</v>
      </c>
      <c r="F23" s="1"/>
      <c r="G23" s="1"/>
      <c r="H23" s="1"/>
    </row>
    <row r="24" spans="1:8">
      <c r="A24" s="5" t="b">
        <v>0</v>
      </c>
      <c r="B24" s="6" t="s">
        <v>35</v>
      </c>
      <c r="C24" s="6"/>
      <c r="D24" s="6" t="b">
        <v>0</v>
      </c>
      <c r="E24" s="6" t="b">
        <v>1</v>
      </c>
      <c r="F24" s="1"/>
      <c r="G24" s="1"/>
      <c r="H24" s="1"/>
    </row>
    <row r="25" spans="1:8">
      <c r="A25" s="3"/>
      <c r="B25" s="4" t="s">
        <v>36</v>
      </c>
      <c r="C25" s="4"/>
      <c r="D25" s="4" t="b">
        <v>0</v>
      </c>
      <c r="E25" s="4" t="b">
        <v>1</v>
      </c>
      <c r="F25" s="7" t="s">
        <v>37</v>
      </c>
      <c r="G25" s="7"/>
      <c r="H25" s="7"/>
    </row>
    <row r="26" spans="1:8">
      <c r="A26" s="5" t="b">
        <v>0</v>
      </c>
      <c r="B26" s="6" t="s">
        <v>38</v>
      </c>
      <c r="C26" s="6"/>
      <c r="D26" s="6" t="b">
        <v>0</v>
      </c>
      <c r="E26" s="6" t="b">
        <v>1</v>
      </c>
      <c r="F26" s="1"/>
      <c r="G26" s="1"/>
      <c r="H26" s="1"/>
    </row>
    <row r="27" spans="1:8">
      <c r="A27" s="5" t="b">
        <v>0</v>
      </c>
      <c r="B27" s="6" t="s">
        <v>38</v>
      </c>
      <c r="C27" s="6"/>
      <c r="D27" s="6" t="b">
        <v>0</v>
      </c>
      <c r="E27" s="6" t="b">
        <v>1</v>
      </c>
      <c r="F27" s="1"/>
      <c r="G27" s="1"/>
      <c r="H27" s="1"/>
    </row>
    <row r="28" spans="1:8">
      <c r="A28" s="3"/>
      <c r="B28" s="4" t="s">
        <v>39</v>
      </c>
      <c r="C28" s="4"/>
      <c r="D28" s="4" t="b">
        <v>0</v>
      </c>
      <c r="E28" s="4" t="b">
        <v>1</v>
      </c>
      <c r="F28" s="7" t="s">
        <v>40</v>
      </c>
      <c r="G28" s="7"/>
      <c r="H28" s="7"/>
    </row>
    <row r="29" spans="1:8">
      <c r="A29" s="5" t="b">
        <v>0</v>
      </c>
      <c r="B29" s="6" t="s">
        <v>41</v>
      </c>
      <c r="C29" s="6"/>
      <c r="D29" s="6" t="b">
        <v>0</v>
      </c>
      <c r="E29" s="6" t="b">
        <v>1</v>
      </c>
      <c r="F29" s="1"/>
      <c r="G29" s="1"/>
      <c r="H29" s="1"/>
    </row>
    <row r="30" spans="1:8">
      <c r="A30" s="5" t="b">
        <v>0</v>
      </c>
      <c r="B30" s="6" t="s">
        <v>41</v>
      </c>
      <c r="C30" s="6"/>
      <c r="D30" s="6" t="b">
        <v>0</v>
      </c>
      <c r="E30" s="6" t="b">
        <v>1</v>
      </c>
      <c r="F30" s="1"/>
      <c r="G30" s="1"/>
      <c r="H30" s="1"/>
    </row>
    <row r="31" spans="1:8">
      <c r="A31" s="5" t="b">
        <v>0</v>
      </c>
      <c r="B31" s="6" t="s">
        <v>41</v>
      </c>
      <c r="C31" s="6"/>
      <c r="D31" s="6" t="b">
        <v>0</v>
      </c>
      <c r="E31" s="6" t="b">
        <v>1</v>
      </c>
      <c r="F31" s="1"/>
      <c r="G31" s="1"/>
      <c r="H31" s="1"/>
    </row>
  </sheetData>
  <mergeCells count="2">
    <mergeCell ref="G1:H1"/>
    <mergeCell ref="G2:H2"/>
  </mergeCells>
  <phoneticPr fontId="8" type="noConversion"/>
  <dataValidations count="3">
    <dataValidation type="list" allowBlank="1" showInputMessage="1" showErrorMessage="1" sqref="G7" xr:uid="{00000000-0002-0000-0400-000000000000}">
      <formula1>TableTypeNames</formula1>
    </dataValidation>
    <dataValidation type="list" allowBlank="1" showInputMessage="1" showErrorMessage="1" sqref="G10" xr:uid="{00000000-0002-0000-0400-000001000000}">
      <formula1>"None,Numbered,Bullets"</formula1>
    </dataValidation>
    <dataValidation type="list" allowBlank="1" showInputMessage="1" showErrorMessage="1" sqref="C2:E2 G2" xr:uid="{00000000-0002-0000-0400-000002000000}">
      <formula1>SectionNames</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theme="3"/>
  </sheetPr>
  <dimension ref="A1:D10"/>
  <sheetViews>
    <sheetView workbookViewId="0">
      <selection activeCell="D28" sqref="D28"/>
    </sheetView>
  </sheetViews>
  <sheetFormatPr defaultRowHeight="14.5"/>
  <cols>
    <col min="1" max="1" width="17.54296875" bestFit="1" customWidth="1"/>
    <col min="2" max="2" width="23.81640625" customWidth="1"/>
    <col min="3" max="3" width="23" customWidth="1"/>
    <col min="4" max="4" width="27.81640625" customWidth="1"/>
  </cols>
  <sheetData>
    <row r="1" spans="1:4">
      <c r="A1" s="8" t="s">
        <v>1</v>
      </c>
      <c r="B1" s="271" t="str">
        <f>IF(Metadata!B1="","No series name entered",Metadata!B1)</f>
        <v>HP EliteBook 865 164 inch G10 Notebook PC</v>
      </c>
      <c r="C1" s="271"/>
    </row>
    <row r="2" spans="1:4">
      <c r="A2" s="12" t="s">
        <v>2</v>
      </c>
      <c r="B2" s="272" t="s">
        <v>64</v>
      </c>
      <c r="C2" s="272"/>
    </row>
    <row r="4" spans="1:4">
      <c r="A4" s="161" t="s">
        <v>45</v>
      </c>
      <c r="B4" s="273"/>
      <c r="C4" s="273"/>
      <c r="D4" s="273"/>
    </row>
    <row r="5" spans="1:4">
      <c r="A5" s="162" t="s">
        <v>46</v>
      </c>
      <c r="B5" s="274"/>
      <c r="C5" s="274"/>
      <c r="D5" s="274"/>
    </row>
    <row r="6" spans="1:4">
      <c r="A6" s="16" t="s">
        <v>80</v>
      </c>
      <c r="B6" s="16" t="s">
        <v>81</v>
      </c>
      <c r="C6" s="16" t="s">
        <v>82</v>
      </c>
      <c r="D6" s="16" t="s">
        <v>83</v>
      </c>
    </row>
    <row r="7" spans="1:4">
      <c r="A7" s="17"/>
      <c r="B7" s="17"/>
      <c r="C7" s="17"/>
      <c r="D7" s="17"/>
    </row>
    <row r="8" spans="1:4">
      <c r="A8" s="17"/>
      <c r="B8" s="17"/>
      <c r="C8" s="17"/>
      <c r="D8" s="17"/>
    </row>
    <row r="9" spans="1:4">
      <c r="A9" s="17"/>
      <c r="B9" s="17"/>
      <c r="C9" s="17"/>
      <c r="D9" s="17"/>
    </row>
    <row r="10" spans="1:4">
      <c r="A10" s="17"/>
      <c r="B10" s="17"/>
      <c r="C10" s="17"/>
      <c r="D10" s="17"/>
    </row>
  </sheetData>
  <mergeCells count="4">
    <mergeCell ref="B5:D5"/>
    <mergeCell ref="B1:C1"/>
    <mergeCell ref="B2:C2"/>
    <mergeCell ref="B4:D4"/>
  </mergeCells>
  <phoneticPr fontId="8" type="noConversion"/>
  <dataValidations count="1">
    <dataValidation type="list" allowBlank="1" showInputMessage="1" showErrorMessage="1" sqref="B2" xr:uid="{00000000-0002-0000-0500-000000000000}">
      <formula1>SectionNames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J15"/>
  <sheetViews>
    <sheetView workbookViewId="0">
      <selection activeCell="B4" sqref="B4:H4"/>
    </sheetView>
  </sheetViews>
  <sheetFormatPr defaultRowHeight="14.5"/>
  <cols>
    <col min="1" max="10" width="18.81640625" customWidth="1"/>
  </cols>
  <sheetData>
    <row r="2" spans="1:10">
      <c r="A2" s="101" t="s">
        <v>84</v>
      </c>
      <c r="B2" s="102">
        <v>43831</v>
      </c>
      <c r="C2" t="s">
        <v>85</v>
      </c>
    </row>
    <row r="3" spans="1:10">
      <c r="A3" s="103" t="s">
        <v>86</v>
      </c>
      <c r="B3" s="104">
        <v>43831</v>
      </c>
      <c r="C3" t="s">
        <v>85</v>
      </c>
    </row>
    <row r="4" spans="1:10" ht="20" thickBot="1">
      <c r="B4" s="276" t="s">
        <v>87</v>
      </c>
      <c r="C4" s="276"/>
      <c r="D4" s="276"/>
      <c r="E4" s="276"/>
      <c r="F4" s="276"/>
      <c r="G4" s="276"/>
      <c r="H4" s="276"/>
    </row>
    <row r="5" spans="1:10">
      <c r="A5" s="105" t="s">
        <v>88</v>
      </c>
      <c r="B5" s="106" t="s">
        <v>89</v>
      </c>
      <c r="C5" s="106" t="s">
        <v>90</v>
      </c>
      <c r="D5" s="106" t="s">
        <v>91</v>
      </c>
      <c r="E5" s="106" t="s">
        <v>92</v>
      </c>
      <c r="F5" s="106" t="s">
        <v>93</v>
      </c>
      <c r="G5" s="106" t="s">
        <v>94</v>
      </c>
      <c r="H5" s="106" t="s">
        <v>95</v>
      </c>
      <c r="I5" s="107"/>
      <c r="J5" s="108"/>
    </row>
    <row r="6" spans="1:10" ht="52.5" thickBot="1">
      <c r="B6" s="109" t="s">
        <v>96</v>
      </c>
      <c r="C6" s="109" t="s">
        <v>97</v>
      </c>
      <c r="D6" s="109" t="s">
        <v>98</v>
      </c>
      <c r="E6" s="109" t="s">
        <v>99</v>
      </c>
      <c r="F6" s="109" t="s">
        <v>100</v>
      </c>
      <c r="G6" s="109" t="s">
        <v>101</v>
      </c>
      <c r="H6" s="109" t="s">
        <v>102</v>
      </c>
      <c r="I6" s="110"/>
      <c r="J6" s="111"/>
    </row>
    <row r="7" spans="1:10">
      <c r="A7" s="112" t="s">
        <v>103</v>
      </c>
      <c r="B7" s="113">
        <f>B2-133</f>
        <v>43698</v>
      </c>
      <c r="C7" s="113">
        <f>B2-126</f>
        <v>43705</v>
      </c>
      <c r="D7" s="113">
        <f>B2-112</f>
        <v>43719</v>
      </c>
      <c r="E7" s="113">
        <f>B2-105</f>
        <v>43726</v>
      </c>
      <c r="F7" s="113">
        <f>B2-84</f>
        <v>43747</v>
      </c>
      <c r="G7" s="113">
        <f>B2-77</f>
        <v>43754</v>
      </c>
      <c r="H7" s="113">
        <f>B2-70</f>
        <v>43761</v>
      </c>
      <c r="I7" s="114"/>
      <c r="J7" s="114"/>
    </row>
    <row r="8" spans="1:10">
      <c r="A8" s="112" t="s">
        <v>104</v>
      </c>
      <c r="B8" s="115"/>
      <c r="C8" s="115"/>
      <c r="D8" s="115"/>
      <c r="E8" s="115"/>
      <c r="F8" s="115"/>
      <c r="G8" s="115"/>
      <c r="H8" s="115"/>
      <c r="I8" s="116"/>
      <c r="J8" s="116"/>
    </row>
    <row r="9" spans="1:10">
      <c r="B9" s="117"/>
      <c r="C9" s="117"/>
      <c r="D9" s="117"/>
      <c r="E9" s="117"/>
      <c r="F9" s="117"/>
      <c r="G9" s="118"/>
      <c r="H9" s="117"/>
      <c r="I9" s="117"/>
      <c r="J9" s="117"/>
    </row>
    <row r="11" spans="1:10" ht="20" thickBot="1">
      <c r="B11" s="277" t="s">
        <v>105</v>
      </c>
      <c r="C11" s="277"/>
      <c r="D11" s="277"/>
      <c r="E11" s="277"/>
      <c r="F11" s="277"/>
      <c r="G11" s="277"/>
      <c r="H11" s="277"/>
      <c r="I11" s="277"/>
      <c r="J11" s="277"/>
    </row>
    <row r="12" spans="1:10">
      <c r="A12" s="105" t="s">
        <v>106</v>
      </c>
      <c r="B12" s="119" t="s">
        <v>89</v>
      </c>
      <c r="C12" s="119" t="s">
        <v>90</v>
      </c>
      <c r="D12" s="119" t="s">
        <v>91</v>
      </c>
      <c r="E12" s="119" t="s">
        <v>92</v>
      </c>
      <c r="F12" s="119" t="s">
        <v>93</v>
      </c>
      <c r="G12" s="119" t="s">
        <v>94</v>
      </c>
      <c r="H12" s="119" t="s">
        <v>95</v>
      </c>
      <c r="I12" s="119" t="s">
        <v>107</v>
      </c>
      <c r="J12" s="119" t="s">
        <v>108</v>
      </c>
    </row>
    <row r="13" spans="1:10" ht="52.5" thickBot="1">
      <c r="B13" s="120" t="s">
        <v>96</v>
      </c>
      <c r="C13" s="120" t="s">
        <v>109</v>
      </c>
      <c r="D13" s="120" t="s">
        <v>110</v>
      </c>
      <c r="E13" s="120" t="s">
        <v>99</v>
      </c>
      <c r="F13" s="120" t="s">
        <v>100</v>
      </c>
      <c r="G13" s="120" t="s">
        <v>101</v>
      </c>
      <c r="H13" s="120" t="s">
        <v>102</v>
      </c>
      <c r="I13" s="121" t="s">
        <v>111</v>
      </c>
      <c r="J13" s="120" t="s">
        <v>112</v>
      </c>
    </row>
    <row r="14" spans="1:10">
      <c r="A14" s="112" t="s">
        <v>103</v>
      </c>
      <c r="B14" s="113">
        <f>B3-133</f>
        <v>43698</v>
      </c>
      <c r="C14" s="113">
        <f>B3-126</f>
        <v>43705</v>
      </c>
      <c r="D14" s="113">
        <f>B3-112</f>
        <v>43719</v>
      </c>
      <c r="E14" s="113">
        <f>B3-105</f>
        <v>43726</v>
      </c>
      <c r="F14" s="113">
        <f>B3-84</f>
        <v>43747</v>
      </c>
      <c r="G14" s="113">
        <f>B3-77</f>
        <v>43754</v>
      </c>
      <c r="H14" s="113">
        <f>B3-70</f>
        <v>43761</v>
      </c>
      <c r="I14" s="113">
        <f>B3-66.5</f>
        <v>43764.5</v>
      </c>
      <c r="J14" s="113">
        <f>B3-63</f>
        <v>43768</v>
      </c>
    </row>
    <row r="15" spans="1:10">
      <c r="A15" s="112" t="s">
        <v>104</v>
      </c>
      <c r="B15" s="122"/>
      <c r="C15" s="122"/>
      <c r="D15" s="122"/>
      <c r="E15" s="122"/>
      <c r="F15" s="122"/>
      <c r="G15" s="122"/>
      <c r="H15" s="122"/>
      <c r="I15" s="122"/>
      <c r="J15" s="122"/>
    </row>
  </sheetData>
  <mergeCells count="2">
    <mergeCell ref="B4:H4"/>
    <mergeCell ref="B11:J1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W614"/>
  <sheetViews>
    <sheetView tabSelected="1" topLeftCell="F124" zoomScale="80" zoomScaleNormal="80" workbookViewId="0">
      <selection activeCell="S148" sqref="S148"/>
    </sheetView>
  </sheetViews>
  <sheetFormatPr defaultColWidth="8.81640625" defaultRowHeight="14.5"/>
  <cols>
    <col min="1" max="1" width="18.54296875" style="49" hidden="1" customWidth="1"/>
    <col min="2" max="2" width="21.453125" style="49" hidden="1" customWidth="1"/>
    <col min="3" max="3" width="18.54296875" style="49" hidden="1" customWidth="1"/>
    <col min="4" max="5" width="12.453125" style="49" hidden="1" customWidth="1"/>
    <col min="6" max="6" width="13.54296875" style="175" customWidth="1"/>
    <col min="7" max="7" width="20.453125" style="49" customWidth="1"/>
    <col min="8" max="8" width="7.1796875" style="49" customWidth="1"/>
    <col min="9" max="9" width="8.26953125" style="49" customWidth="1"/>
    <col min="10" max="10" width="8" style="49" customWidth="1"/>
    <col min="11" max="11" width="8.453125" style="49" customWidth="1"/>
    <col min="12" max="12" width="8.81640625" style="49" customWidth="1"/>
    <col min="13" max="13" width="18" style="49" customWidth="1"/>
    <col min="14" max="15" width="8.453125" style="49" customWidth="1"/>
    <col min="16" max="16" width="7.7265625" style="49" customWidth="1"/>
    <col min="17" max="17" width="11.54296875" style="49" customWidth="1"/>
    <col min="18" max="18" width="81.54296875" style="49" customWidth="1"/>
    <col min="19" max="19" width="85.81640625" style="159" bestFit="1" customWidth="1"/>
    <col min="20" max="20" width="13.453125" style="175" customWidth="1"/>
    <col min="21" max="21" width="13.81640625" style="49" customWidth="1"/>
    <col min="22" max="22" width="30" style="49" customWidth="1"/>
    <col min="23" max="23" width="23.54296875" style="49" customWidth="1"/>
    <col min="24" max="150" width="9.1796875" style="49" customWidth="1"/>
    <col min="151" max="16384" width="8.81640625" style="49"/>
  </cols>
  <sheetData>
    <row r="1" spans="1:22" ht="29">
      <c r="C1" s="50"/>
      <c r="D1" s="51"/>
      <c r="E1" s="50"/>
      <c r="F1" s="52" t="s">
        <v>1</v>
      </c>
      <c r="G1" s="411" t="str">
        <f>IF(Metadata!B1="","No series name entered",Metadata!B1)</f>
        <v>HP EliteBook 865 164 inch G10 Notebook PC</v>
      </c>
      <c r="H1" s="411"/>
      <c r="I1" s="411"/>
      <c r="J1" s="411"/>
      <c r="K1" s="411"/>
      <c r="L1" s="411"/>
      <c r="M1" s="411"/>
      <c r="N1" s="411"/>
      <c r="O1" s="411"/>
      <c r="P1" s="411"/>
      <c r="Q1" s="411"/>
      <c r="R1" s="411"/>
      <c r="S1" s="411"/>
    </row>
    <row r="2" spans="1:22">
      <c r="F2" s="53" t="s">
        <v>2</v>
      </c>
      <c r="G2" s="412" t="s">
        <v>59</v>
      </c>
      <c r="H2" s="412"/>
      <c r="I2" s="412"/>
      <c r="J2" s="412"/>
      <c r="K2" s="412"/>
      <c r="L2" s="412"/>
      <c r="M2" s="412"/>
      <c r="N2" s="412"/>
      <c r="O2" s="412"/>
      <c r="P2" s="412"/>
      <c r="Q2" s="412"/>
      <c r="R2" s="412"/>
      <c r="S2" s="412"/>
    </row>
    <row r="3" spans="1:22">
      <c r="F3" s="53" t="s">
        <v>43</v>
      </c>
      <c r="G3" s="366" t="str">
        <f>Metadata!B2</f>
        <v>Lox16</v>
      </c>
      <c r="H3" s="367"/>
      <c r="I3" s="367"/>
      <c r="J3" s="367"/>
      <c r="K3" s="367"/>
      <c r="L3" s="367"/>
      <c r="M3" s="367"/>
      <c r="N3" s="367"/>
      <c r="O3" s="367"/>
      <c r="P3" s="367"/>
      <c r="Q3" s="367"/>
      <c r="R3" s="367"/>
    </row>
    <row r="4" spans="1:22" ht="29">
      <c r="A4" s="52" t="s">
        <v>4</v>
      </c>
      <c r="B4" s="52" t="s">
        <v>5</v>
      </c>
      <c r="C4" s="52" t="s">
        <v>6</v>
      </c>
      <c r="D4" s="52" t="s">
        <v>113</v>
      </c>
      <c r="E4" s="52" t="s">
        <v>114</v>
      </c>
      <c r="F4" s="52" t="s">
        <v>9</v>
      </c>
      <c r="G4" s="287" t="s">
        <v>10</v>
      </c>
      <c r="H4" s="288"/>
      <c r="I4" s="288"/>
      <c r="J4" s="288"/>
      <c r="K4" s="288"/>
      <c r="L4" s="288"/>
      <c r="M4" s="288"/>
      <c r="N4" s="288"/>
      <c r="O4" s="288"/>
      <c r="P4" s="288"/>
      <c r="Q4" s="288"/>
      <c r="R4" s="289"/>
      <c r="S4" s="151" t="s">
        <v>115</v>
      </c>
      <c r="T4" s="52" t="s">
        <v>12</v>
      </c>
      <c r="U4" s="16" t="s">
        <v>13</v>
      </c>
      <c r="V4" s="16" t="s">
        <v>14</v>
      </c>
    </row>
    <row r="5" spans="1:22">
      <c r="A5" s="55"/>
      <c r="B5" s="56" t="s">
        <v>15</v>
      </c>
      <c r="C5" s="56"/>
      <c r="D5" s="56" t="b">
        <v>0</v>
      </c>
      <c r="E5" s="56" t="b">
        <v>1</v>
      </c>
      <c r="F5" s="56"/>
      <c r="G5" s="290" t="s">
        <v>116</v>
      </c>
      <c r="H5" s="291"/>
      <c r="I5" s="291"/>
      <c r="J5" s="291"/>
      <c r="K5" s="291"/>
      <c r="L5" s="291"/>
      <c r="M5" s="291"/>
      <c r="N5" s="291"/>
      <c r="O5" s="291"/>
      <c r="P5" s="291"/>
      <c r="Q5" s="291"/>
      <c r="R5" s="292"/>
      <c r="S5" s="72"/>
      <c r="T5" s="56"/>
      <c r="U5" s="57"/>
      <c r="V5" s="57"/>
    </row>
    <row r="6" spans="1:22">
      <c r="A6" s="58"/>
      <c r="B6" s="59" t="s">
        <v>17</v>
      </c>
      <c r="C6" s="59"/>
      <c r="D6" s="59" t="b">
        <v>0</v>
      </c>
      <c r="E6" s="59" t="b">
        <v>1</v>
      </c>
      <c r="F6" s="59" t="s">
        <v>18</v>
      </c>
      <c r="G6" s="293"/>
      <c r="H6" s="294"/>
      <c r="I6" s="294"/>
      <c r="J6" s="294"/>
      <c r="K6" s="169"/>
      <c r="L6" s="169"/>
      <c r="M6" s="169"/>
      <c r="N6" s="169"/>
      <c r="O6" s="169"/>
      <c r="P6" s="169"/>
      <c r="Q6" s="169"/>
      <c r="R6" s="170"/>
      <c r="S6" s="73"/>
      <c r="T6" s="59"/>
      <c r="U6" s="60"/>
      <c r="V6" s="60"/>
    </row>
    <row r="7" spans="1:22" hidden="1">
      <c r="A7" s="61" t="b">
        <v>1</v>
      </c>
      <c r="B7" s="62" t="s">
        <v>21</v>
      </c>
      <c r="C7" s="62"/>
      <c r="D7" s="62" t="b">
        <v>0</v>
      </c>
      <c r="E7" s="62" t="b">
        <v>1</v>
      </c>
      <c r="F7" s="71" t="s">
        <v>22</v>
      </c>
      <c r="G7" s="54" t="s">
        <v>57</v>
      </c>
      <c r="H7" s="54"/>
      <c r="I7" s="54"/>
      <c r="J7" s="54"/>
      <c r="K7" s="54"/>
      <c r="L7" s="54"/>
      <c r="M7" s="54"/>
      <c r="N7" s="54"/>
      <c r="O7" s="54"/>
      <c r="P7" s="54"/>
      <c r="Q7" s="54"/>
      <c r="R7" s="54"/>
      <c r="S7" s="70"/>
      <c r="T7" s="71"/>
      <c r="U7" s="54"/>
      <c r="V7" s="63"/>
    </row>
    <row r="8" spans="1:22" hidden="1">
      <c r="A8" s="61" t="b">
        <v>0</v>
      </c>
      <c r="B8" s="62" t="s">
        <v>24</v>
      </c>
      <c r="C8" s="62"/>
      <c r="D8" s="62" t="b">
        <v>0</v>
      </c>
      <c r="E8" s="62" t="b">
        <v>1</v>
      </c>
      <c r="F8" s="71" t="s">
        <v>25</v>
      </c>
      <c r="G8" s="54">
        <v>1</v>
      </c>
      <c r="H8" s="54"/>
      <c r="I8" s="54"/>
      <c r="J8" s="54"/>
      <c r="K8" s="54"/>
      <c r="L8" s="54"/>
      <c r="M8" s="54"/>
      <c r="N8" s="54"/>
      <c r="O8" s="54"/>
      <c r="P8" s="54"/>
      <c r="Q8" s="54"/>
      <c r="R8" s="54"/>
      <c r="S8" s="70"/>
      <c r="T8" s="71"/>
      <c r="U8" s="54"/>
      <c r="V8" s="63"/>
    </row>
    <row r="9" spans="1:22" hidden="1">
      <c r="A9" s="61" t="b">
        <v>0</v>
      </c>
      <c r="B9" s="62" t="s">
        <v>26</v>
      </c>
      <c r="C9" s="62"/>
      <c r="D9" s="62" t="b">
        <v>0</v>
      </c>
      <c r="E9" s="62" t="b">
        <v>1</v>
      </c>
      <c r="F9" s="71" t="s">
        <v>27</v>
      </c>
      <c r="G9" s="54"/>
      <c r="H9" s="54"/>
      <c r="I9" s="54"/>
      <c r="J9" s="54"/>
      <c r="K9" s="54"/>
      <c r="L9" s="54"/>
      <c r="M9" s="54"/>
      <c r="N9" s="54"/>
      <c r="O9" s="54"/>
      <c r="P9" s="54"/>
      <c r="Q9" s="54"/>
      <c r="R9" s="54"/>
      <c r="S9" s="70"/>
      <c r="T9" s="71"/>
      <c r="U9" s="54"/>
      <c r="V9" s="63"/>
    </row>
    <row r="10" spans="1:22" hidden="1">
      <c r="A10" s="61" t="b">
        <v>1</v>
      </c>
      <c r="B10" s="62" t="s">
        <v>28</v>
      </c>
      <c r="C10" s="62"/>
      <c r="D10" s="62" t="b">
        <v>0</v>
      </c>
      <c r="E10" s="62" t="b">
        <v>1</v>
      </c>
      <c r="F10" s="71" t="s">
        <v>29</v>
      </c>
      <c r="G10" s="54" t="s">
        <v>30</v>
      </c>
      <c r="H10" s="54"/>
      <c r="I10" s="54"/>
      <c r="J10" s="54"/>
      <c r="K10" s="54"/>
      <c r="L10" s="54"/>
      <c r="M10" s="54"/>
      <c r="N10" s="54"/>
      <c r="O10" s="54"/>
      <c r="P10" s="54"/>
      <c r="Q10" s="54"/>
      <c r="R10" s="54"/>
      <c r="S10" s="70"/>
      <c r="T10" s="71"/>
      <c r="U10" s="54"/>
      <c r="V10" s="63"/>
    </row>
    <row r="11" spans="1:22" hidden="1">
      <c r="A11" s="64"/>
      <c r="B11" s="65" t="s">
        <v>31</v>
      </c>
      <c r="C11" s="65"/>
      <c r="D11" s="65" t="b">
        <v>0</v>
      </c>
      <c r="E11" s="65" t="b">
        <v>1</v>
      </c>
      <c r="F11" s="65" t="s">
        <v>32</v>
      </c>
      <c r="G11" s="66"/>
      <c r="H11" s="66"/>
      <c r="I11" s="66"/>
      <c r="J11" s="66"/>
      <c r="K11" s="66"/>
      <c r="L11" s="66"/>
      <c r="M11" s="66"/>
      <c r="N11" s="66"/>
      <c r="O11" s="66"/>
      <c r="P11" s="66"/>
      <c r="Q11" s="66"/>
      <c r="R11" s="66"/>
      <c r="S11" s="152"/>
      <c r="T11" s="65"/>
      <c r="U11" s="66"/>
      <c r="V11" s="66"/>
    </row>
    <row r="12" spans="1:22" ht="25.5" customHeight="1">
      <c r="A12" s="61" t="b">
        <v>1</v>
      </c>
      <c r="B12" s="62" t="s">
        <v>35</v>
      </c>
      <c r="C12" s="62"/>
      <c r="D12" s="62" t="b">
        <v>0</v>
      </c>
      <c r="E12" s="62" t="b">
        <v>1</v>
      </c>
      <c r="F12" s="71"/>
      <c r="G12" s="363" t="str">
        <f>Metadata!B1</f>
        <v>HP EliteBook 865 164 inch G10 Notebook PC</v>
      </c>
      <c r="H12" s="364"/>
      <c r="I12" s="364"/>
      <c r="J12" s="364"/>
      <c r="K12" s="364"/>
      <c r="L12" s="364"/>
      <c r="M12" s="364"/>
      <c r="N12" s="364"/>
      <c r="O12" s="364"/>
      <c r="P12" s="364"/>
      <c r="Q12" s="364"/>
      <c r="R12" s="365"/>
      <c r="S12" s="70"/>
      <c r="T12" s="71"/>
      <c r="U12" s="54"/>
      <c r="V12" s="63"/>
    </row>
    <row r="13" spans="1:22" ht="29">
      <c r="A13" s="52" t="s">
        <v>4</v>
      </c>
      <c r="B13" s="52" t="s">
        <v>5</v>
      </c>
      <c r="C13" s="52" t="s">
        <v>6</v>
      </c>
      <c r="D13" s="52" t="s">
        <v>113</v>
      </c>
      <c r="E13" s="52" t="s">
        <v>114</v>
      </c>
      <c r="F13" s="52" t="s">
        <v>9</v>
      </c>
      <c r="G13" s="344" t="s">
        <v>10</v>
      </c>
      <c r="H13" s="345"/>
      <c r="I13" s="167"/>
      <c r="J13" s="167"/>
      <c r="K13" s="167"/>
      <c r="L13" s="167"/>
      <c r="M13" s="167"/>
      <c r="N13" s="167"/>
      <c r="O13" s="167"/>
      <c r="P13" s="167"/>
      <c r="Q13" s="167"/>
      <c r="R13" s="168"/>
      <c r="S13" s="151"/>
      <c r="T13" s="52" t="s">
        <v>12</v>
      </c>
      <c r="U13" s="16" t="s">
        <v>13</v>
      </c>
      <c r="V13" s="16" t="s">
        <v>14</v>
      </c>
    </row>
    <row r="14" spans="1:22">
      <c r="A14" s="58"/>
      <c r="B14" s="59" t="s">
        <v>17</v>
      </c>
      <c r="C14" s="59"/>
      <c r="D14" s="59" t="b">
        <v>0</v>
      </c>
      <c r="E14" s="59" t="b">
        <v>1</v>
      </c>
      <c r="F14" s="59" t="s">
        <v>18</v>
      </c>
      <c r="G14" s="429" t="s">
        <v>117</v>
      </c>
      <c r="H14" s="430"/>
      <c r="I14" s="430"/>
      <c r="J14" s="430"/>
      <c r="K14" s="430"/>
      <c r="L14" s="430"/>
      <c r="M14" s="430"/>
      <c r="N14" s="430"/>
      <c r="O14" s="430"/>
      <c r="P14" s="430"/>
      <c r="Q14" s="430"/>
      <c r="R14" s="431"/>
      <c r="S14" s="73"/>
      <c r="T14" s="59"/>
      <c r="U14" s="59"/>
      <c r="V14" s="59"/>
    </row>
    <row r="15" spans="1:22" hidden="1">
      <c r="A15" s="61" t="b">
        <v>1</v>
      </c>
      <c r="B15" s="62" t="s">
        <v>21</v>
      </c>
      <c r="C15" s="62"/>
      <c r="D15" s="62" t="b">
        <v>0</v>
      </c>
      <c r="E15" s="62" t="b">
        <v>1</v>
      </c>
      <c r="F15" s="71" t="s">
        <v>22</v>
      </c>
      <c r="G15" s="54" t="s">
        <v>57</v>
      </c>
      <c r="H15" s="54"/>
      <c r="I15" s="54"/>
      <c r="J15" s="54"/>
      <c r="K15" s="54"/>
      <c r="L15" s="54"/>
      <c r="M15" s="54"/>
      <c r="N15" s="54"/>
      <c r="O15" s="54"/>
      <c r="P15" s="54"/>
      <c r="Q15" s="54"/>
      <c r="R15" s="54"/>
      <c r="S15" s="70"/>
      <c r="T15" s="71"/>
      <c r="U15" s="54"/>
      <c r="V15" s="63"/>
    </row>
    <row r="16" spans="1:22" hidden="1">
      <c r="A16" s="61" t="b">
        <v>0</v>
      </c>
      <c r="B16" s="62" t="s">
        <v>24</v>
      </c>
      <c r="C16" s="62"/>
      <c r="D16" s="62" t="b">
        <v>0</v>
      </c>
      <c r="E16" s="62" t="b">
        <v>1</v>
      </c>
      <c r="F16" s="71" t="s">
        <v>25</v>
      </c>
      <c r="G16" s="54">
        <v>1</v>
      </c>
      <c r="H16" s="54"/>
      <c r="I16" s="54"/>
      <c r="J16" s="54"/>
      <c r="K16" s="54"/>
      <c r="L16" s="54"/>
      <c r="M16" s="54"/>
      <c r="N16" s="54"/>
      <c r="O16" s="54"/>
      <c r="P16" s="54"/>
      <c r="Q16" s="54"/>
      <c r="R16" s="54"/>
      <c r="S16" s="70"/>
      <c r="T16" s="71"/>
      <c r="U16" s="54"/>
      <c r="V16" s="63"/>
    </row>
    <row r="17" spans="1:22" hidden="1">
      <c r="A17" s="61" t="b">
        <v>0</v>
      </c>
      <c r="B17" s="62" t="s">
        <v>26</v>
      </c>
      <c r="C17" s="62"/>
      <c r="D17" s="62" t="b">
        <v>0</v>
      </c>
      <c r="E17" s="62" t="b">
        <v>1</v>
      </c>
      <c r="F17" s="71" t="s">
        <v>27</v>
      </c>
      <c r="G17" s="54"/>
      <c r="H17" s="54"/>
      <c r="I17" s="54"/>
      <c r="J17" s="54"/>
      <c r="K17" s="54"/>
      <c r="L17" s="54"/>
      <c r="M17" s="54"/>
      <c r="N17" s="54"/>
      <c r="O17" s="54"/>
      <c r="P17" s="54"/>
      <c r="Q17" s="54"/>
      <c r="R17" s="54"/>
      <c r="S17" s="70"/>
      <c r="T17" s="71"/>
      <c r="U17" s="54"/>
      <c r="V17" s="63"/>
    </row>
    <row r="18" spans="1:22" hidden="1">
      <c r="A18" s="61" t="b">
        <v>1</v>
      </c>
      <c r="B18" s="62" t="s">
        <v>28</v>
      </c>
      <c r="C18" s="62"/>
      <c r="D18" s="62" t="b">
        <v>0</v>
      </c>
      <c r="E18" s="62" t="b">
        <v>1</v>
      </c>
      <c r="F18" s="71" t="s">
        <v>29</v>
      </c>
      <c r="G18" s="54" t="s">
        <v>30</v>
      </c>
      <c r="H18" s="54"/>
      <c r="I18" s="54"/>
      <c r="J18" s="54"/>
      <c r="K18" s="54"/>
      <c r="L18" s="54"/>
      <c r="M18" s="54"/>
      <c r="N18" s="54"/>
      <c r="O18" s="54"/>
      <c r="P18" s="54"/>
      <c r="Q18" s="54"/>
      <c r="R18" s="54"/>
      <c r="S18" s="70"/>
      <c r="T18" s="71"/>
      <c r="U18" s="54"/>
      <c r="V18" s="63"/>
    </row>
    <row r="19" spans="1:22" ht="29">
      <c r="A19" s="61" t="b">
        <v>0</v>
      </c>
      <c r="B19" s="62" t="s">
        <v>118</v>
      </c>
      <c r="C19" s="62" t="s">
        <v>119</v>
      </c>
      <c r="D19" s="62" t="b">
        <v>1</v>
      </c>
      <c r="E19" s="62" t="b">
        <v>1</v>
      </c>
      <c r="F19" s="71" t="s">
        <v>47</v>
      </c>
      <c r="G19" s="368"/>
      <c r="H19" s="369"/>
      <c r="I19" s="369"/>
      <c r="J19" s="369"/>
      <c r="K19" s="369"/>
      <c r="L19" s="369"/>
      <c r="M19" s="369"/>
      <c r="N19" s="369"/>
      <c r="O19" s="369"/>
      <c r="P19" s="369"/>
      <c r="Q19" s="369"/>
      <c r="R19" s="370"/>
      <c r="S19" s="70"/>
      <c r="T19" s="178" t="s">
        <v>120</v>
      </c>
      <c r="U19" s="41" t="s">
        <v>20</v>
      </c>
      <c r="V19" s="63"/>
    </row>
    <row r="20" spans="1:22" hidden="1">
      <c r="A20" s="64"/>
      <c r="B20" s="65" t="s">
        <v>31</v>
      </c>
      <c r="C20" s="65"/>
      <c r="D20" s="62" t="b">
        <v>1</v>
      </c>
      <c r="E20" s="65" t="b">
        <v>1</v>
      </c>
      <c r="F20" s="65" t="s">
        <v>32</v>
      </c>
      <c r="G20" s="66"/>
      <c r="H20" s="66"/>
      <c r="I20" s="66"/>
      <c r="J20" s="66"/>
      <c r="K20" s="66"/>
      <c r="L20" s="66"/>
      <c r="M20" s="66"/>
      <c r="N20" s="66"/>
      <c r="O20" s="66"/>
      <c r="P20" s="66"/>
      <c r="Q20" s="66"/>
      <c r="R20" s="66"/>
      <c r="S20" s="152" t="s">
        <v>121</v>
      </c>
      <c r="T20" s="65"/>
      <c r="U20" s="65"/>
      <c r="V20" s="65"/>
    </row>
    <row r="21" spans="1:22" ht="29">
      <c r="A21" s="61" t="b">
        <v>1</v>
      </c>
      <c r="B21" s="62" t="s">
        <v>122</v>
      </c>
      <c r="C21" s="62"/>
      <c r="D21" s="62" t="b">
        <v>1</v>
      </c>
      <c r="E21" s="62" t="b">
        <v>1</v>
      </c>
      <c r="F21" s="71" t="s">
        <v>123</v>
      </c>
      <c r="G21" s="417" t="s">
        <v>124</v>
      </c>
      <c r="H21" s="418"/>
      <c r="I21" s="418"/>
      <c r="J21" s="418"/>
      <c r="K21" s="418"/>
      <c r="L21" s="418"/>
      <c r="M21" s="418"/>
      <c r="N21" s="418"/>
      <c r="O21" s="418"/>
      <c r="P21" s="418"/>
      <c r="Q21" s="418"/>
      <c r="R21" s="419"/>
      <c r="S21" s="70" t="s">
        <v>125</v>
      </c>
      <c r="T21" s="71" t="s">
        <v>126</v>
      </c>
      <c r="U21" s="41" t="s">
        <v>127</v>
      </c>
      <c r="V21" s="63"/>
    </row>
    <row r="22" spans="1:22" ht="29">
      <c r="A22" s="61" t="b">
        <v>0</v>
      </c>
      <c r="B22" s="62" t="s">
        <v>128</v>
      </c>
      <c r="C22" s="62"/>
      <c r="D22" s="62" t="b">
        <v>1</v>
      </c>
      <c r="E22" s="62" t="b">
        <v>1</v>
      </c>
      <c r="F22" s="71" t="s">
        <v>129</v>
      </c>
      <c r="G22" s="417" t="s">
        <v>130</v>
      </c>
      <c r="H22" s="418"/>
      <c r="I22" s="418"/>
      <c r="J22" s="418"/>
      <c r="K22" s="418"/>
      <c r="L22" s="418"/>
      <c r="M22" s="418"/>
      <c r="N22" s="418"/>
      <c r="O22" s="418"/>
      <c r="P22" s="418"/>
      <c r="Q22" s="418"/>
      <c r="R22" s="419"/>
      <c r="S22" s="70" t="s">
        <v>131</v>
      </c>
      <c r="T22" s="71" t="s">
        <v>126</v>
      </c>
      <c r="U22" s="41" t="s">
        <v>127</v>
      </c>
      <c r="V22" s="63"/>
    </row>
    <row r="23" spans="1:22" ht="29">
      <c r="A23" s="61" t="b">
        <v>0</v>
      </c>
      <c r="B23" s="62" t="s">
        <v>132</v>
      </c>
      <c r="C23" s="62"/>
      <c r="D23" s="62" t="b">
        <v>1</v>
      </c>
      <c r="E23" s="62" t="b">
        <v>1</v>
      </c>
      <c r="F23" s="71" t="s">
        <v>133</v>
      </c>
      <c r="G23" s="417" t="s">
        <v>134</v>
      </c>
      <c r="H23" s="418"/>
      <c r="I23" s="418"/>
      <c r="J23" s="418"/>
      <c r="K23" s="418"/>
      <c r="L23" s="418"/>
      <c r="M23" s="418"/>
      <c r="N23" s="418"/>
      <c r="O23" s="418"/>
      <c r="P23" s="418"/>
      <c r="Q23" s="418"/>
      <c r="R23" s="419"/>
      <c r="S23" s="70" t="s">
        <v>135</v>
      </c>
      <c r="T23" s="71" t="s">
        <v>126</v>
      </c>
      <c r="U23" s="41" t="s">
        <v>127</v>
      </c>
      <c r="V23" s="63"/>
    </row>
    <row r="24" spans="1:22" ht="29">
      <c r="A24" s="61" t="b">
        <v>0</v>
      </c>
      <c r="B24" s="62" t="s">
        <v>136</v>
      </c>
      <c r="C24" s="62"/>
      <c r="D24" s="62" t="b">
        <v>1</v>
      </c>
      <c r="E24" s="62" t="b">
        <v>1</v>
      </c>
      <c r="F24" s="71" t="s">
        <v>137</v>
      </c>
      <c r="G24" s="417" t="s">
        <v>138</v>
      </c>
      <c r="H24" s="418"/>
      <c r="I24" s="418"/>
      <c r="J24" s="418"/>
      <c r="K24" s="418"/>
      <c r="L24" s="418"/>
      <c r="M24" s="418"/>
      <c r="N24" s="418"/>
      <c r="O24" s="418"/>
      <c r="P24" s="418"/>
      <c r="Q24" s="418"/>
      <c r="R24" s="419"/>
      <c r="S24" s="70" t="s">
        <v>139</v>
      </c>
      <c r="T24" s="71" t="s">
        <v>126</v>
      </c>
      <c r="U24" s="41" t="s">
        <v>127</v>
      </c>
      <c r="V24" s="63"/>
    </row>
    <row r="25" spans="1:22" ht="44.25" customHeight="1">
      <c r="A25" s="61"/>
      <c r="B25" s="62"/>
      <c r="C25" s="62"/>
      <c r="D25" s="62"/>
      <c r="E25" s="62"/>
      <c r="F25" s="71" t="s">
        <v>140</v>
      </c>
      <c r="G25" s="420" t="s">
        <v>141</v>
      </c>
      <c r="H25" s="421"/>
      <c r="I25" s="421"/>
      <c r="J25" s="421"/>
      <c r="K25" s="421"/>
      <c r="L25" s="421"/>
      <c r="M25" s="421"/>
      <c r="N25" s="421"/>
      <c r="O25" s="421"/>
      <c r="P25" s="421"/>
      <c r="Q25" s="421"/>
      <c r="R25" s="422"/>
      <c r="S25" s="70" t="s">
        <v>142</v>
      </c>
      <c r="T25" s="71" t="s">
        <v>126</v>
      </c>
      <c r="U25" s="41" t="s">
        <v>127</v>
      </c>
      <c r="V25" s="63"/>
    </row>
    <row r="26" spans="1:22" ht="38.25" customHeight="1">
      <c r="A26" s="61" t="b">
        <v>0</v>
      </c>
      <c r="B26" s="62" t="s">
        <v>143</v>
      </c>
      <c r="C26" s="62"/>
      <c r="D26" s="62" t="b">
        <v>1</v>
      </c>
      <c r="E26" s="62" t="b">
        <v>1</v>
      </c>
      <c r="F26" s="71" t="s">
        <v>144</v>
      </c>
      <c r="G26" s="417" t="s">
        <v>145</v>
      </c>
      <c r="H26" s="418"/>
      <c r="I26" s="418"/>
      <c r="J26" s="418"/>
      <c r="K26" s="418"/>
      <c r="L26" s="418"/>
      <c r="M26" s="418"/>
      <c r="N26" s="418"/>
      <c r="O26" s="418"/>
      <c r="P26" s="418"/>
      <c r="Q26" s="418"/>
      <c r="R26" s="419"/>
      <c r="S26" s="70" t="s">
        <v>146</v>
      </c>
      <c r="T26" s="71" t="s">
        <v>126</v>
      </c>
      <c r="U26" s="41" t="s">
        <v>127</v>
      </c>
      <c r="V26" s="63"/>
    </row>
    <row r="27" spans="1:22" ht="29">
      <c r="A27" s="61" t="b">
        <v>0</v>
      </c>
      <c r="B27" s="62" t="s">
        <v>147</v>
      </c>
      <c r="C27" s="62"/>
      <c r="D27" s="62" t="b">
        <v>1</v>
      </c>
      <c r="E27" s="62" t="b">
        <v>1</v>
      </c>
      <c r="F27" s="71" t="s">
        <v>148</v>
      </c>
      <c r="G27" s="417" t="s">
        <v>149</v>
      </c>
      <c r="H27" s="418"/>
      <c r="I27" s="418"/>
      <c r="J27" s="418"/>
      <c r="K27" s="418"/>
      <c r="L27" s="418"/>
      <c r="M27" s="418"/>
      <c r="N27" s="418"/>
      <c r="O27" s="418"/>
      <c r="P27" s="418"/>
      <c r="Q27" s="418"/>
      <c r="R27" s="419"/>
      <c r="S27" s="70" t="s">
        <v>150</v>
      </c>
      <c r="T27" s="71" t="s">
        <v>126</v>
      </c>
      <c r="U27" s="41" t="s">
        <v>127</v>
      </c>
      <c r="V27" s="63"/>
    </row>
    <row r="28" spans="1:22" ht="29">
      <c r="A28" s="61" t="b">
        <v>0</v>
      </c>
      <c r="B28" s="62" t="s">
        <v>147</v>
      </c>
      <c r="C28" s="62"/>
      <c r="D28" s="62" t="b">
        <v>1</v>
      </c>
      <c r="E28" s="62" t="b">
        <v>1</v>
      </c>
      <c r="F28" s="71" t="s">
        <v>151</v>
      </c>
      <c r="G28" s="423"/>
      <c r="H28" s="424"/>
      <c r="I28" s="424"/>
      <c r="J28" s="424"/>
      <c r="K28" s="424"/>
      <c r="L28" s="424"/>
      <c r="M28" s="424"/>
      <c r="N28" s="424"/>
      <c r="O28" s="424"/>
      <c r="P28" s="424"/>
      <c r="Q28" s="424"/>
      <c r="R28" s="425"/>
      <c r="S28" s="70" t="s">
        <v>152</v>
      </c>
      <c r="T28" s="71" t="s">
        <v>153</v>
      </c>
      <c r="U28" s="41" t="s">
        <v>20</v>
      </c>
      <c r="V28" s="63"/>
    </row>
    <row r="29" spans="1:22" ht="29">
      <c r="A29" s="61" t="b">
        <v>0</v>
      </c>
      <c r="B29" s="62" t="s">
        <v>147</v>
      </c>
      <c r="C29" s="62"/>
      <c r="D29" s="62" t="b">
        <v>1</v>
      </c>
      <c r="E29" s="62" t="b">
        <v>1</v>
      </c>
      <c r="F29" s="71" t="s">
        <v>154</v>
      </c>
      <c r="G29" s="423"/>
      <c r="H29" s="424"/>
      <c r="I29" s="424"/>
      <c r="J29" s="424"/>
      <c r="K29" s="424"/>
      <c r="L29" s="424"/>
      <c r="M29" s="424"/>
      <c r="N29" s="424"/>
      <c r="O29" s="424"/>
      <c r="P29" s="424"/>
      <c r="Q29" s="424"/>
      <c r="R29" s="425"/>
      <c r="S29" s="70" t="s">
        <v>155</v>
      </c>
      <c r="T29" s="71" t="s">
        <v>153</v>
      </c>
      <c r="U29" s="41" t="s">
        <v>20</v>
      </c>
      <c r="V29" s="63"/>
    </row>
    <row r="30" spans="1:22" ht="29">
      <c r="A30" s="61" t="b">
        <v>0</v>
      </c>
      <c r="B30" s="62" t="s">
        <v>147</v>
      </c>
      <c r="C30" s="62"/>
      <c r="D30" s="62" t="b">
        <v>1</v>
      </c>
      <c r="E30" s="62" t="b">
        <v>1</v>
      </c>
      <c r="F30" s="71" t="s">
        <v>156</v>
      </c>
      <c r="G30" s="423"/>
      <c r="H30" s="424"/>
      <c r="I30" s="424"/>
      <c r="J30" s="424"/>
      <c r="K30" s="424"/>
      <c r="L30" s="424"/>
      <c r="M30" s="424"/>
      <c r="N30" s="424"/>
      <c r="O30" s="424"/>
      <c r="P30" s="424"/>
      <c r="Q30" s="424"/>
      <c r="R30" s="425"/>
      <c r="S30" s="70"/>
      <c r="T30" s="71" t="s">
        <v>153</v>
      </c>
      <c r="U30" s="41" t="s">
        <v>20</v>
      </c>
      <c r="V30" s="63"/>
    </row>
    <row r="31" spans="1:22" ht="29">
      <c r="A31" s="61" t="b">
        <v>0</v>
      </c>
      <c r="B31" s="62" t="s">
        <v>147</v>
      </c>
      <c r="C31" s="62"/>
      <c r="D31" s="62" t="b">
        <v>1</v>
      </c>
      <c r="E31" s="62" t="b">
        <v>1</v>
      </c>
      <c r="F31" s="71" t="s">
        <v>157</v>
      </c>
      <c r="G31" s="423"/>
      <c r="H31" s="424"/>
      <c r="I31" s="424"/>
      <c r="J31" s="424"/>
      <c r="K31" s="424"/>
      <c r="L31" s="424"/>
      <c r="M31" s="424"/>
      <c r="N31" s="424"/>
      <c r="O31" s="424"/>
      <c r="P31" s="424"/>
      <c r="Q31" s="424"/>
      <c r="R31" s="425"/>
      <c r="S31" s="70"/>
      <c r="T31" s="71" t="s">
        <v>153</v>
      </c>
      <c r="U31" s="41" t="s">
        <v>20</v>
      </c>
      <c r="V31" s="63"/>
    </row>
    <row r="32" spans="1:22">
      <c r="A32" s="64"/>
      <c r="B32" s="65" t="s">
        <v>36</v>
      </c>
      <c r="C32" s="65"/>
      <c r="D32" s="65" t="b">
        <v>1</v>
      </c>
      <c r="E32" s="65" t="b">
        <v>1</v>
      </c>
      <c r="F32" s="65" t="s">
        <v>37</v>
      </c>
      <c r="G32" s="408"/>
      <c r="H32" s="409"/>
      <c r="I32" s="409"/>
      <c r="J32" s="409"/>
      <c r="K32" s="409"/>
      <c r="L32" s="409"/>
      <c r="M32" s="409"/>
      <c r="N32" s="409"/>
      <c r="O32" s="409"/>
      <c r="P32" s="409"/>
      <c r="Q32" s="409"/>
      <c r="R32" s="410"/>
      <c r="S32" s="152" t="s">
        <v>121</v>
      </c>
      <c r="T32" s="65"/>
      <c r="U32" s="65"/>
      <c r="V32" s="65"/>
    </row>
    <row r="33" spans="1:22" ht="72.5">
      <c r="A33" s="61" t="b">
        <v>0</v>
      </c>
      <c r="B33" s="62" t="s">
        <v>38</v>
      </c>
      <c r="C33" s="62"/>
      <c r="D33" s="62" t="b">
        <v>1</v>
      </c>
      <c r="E33" s="62" t="b">
        <v>1</v>
      </c>
      <c r="F33" s="71"/>
      <c r="G33" s="387" t="s">
        <v>158</v>
      </c>
      <c r="H33" s="388"/>
      <c r="I33" s="388"/>
      <c r="J33" s="388"/>
      <c r="K33" s="388"/>
      <c r="L33" s="388"/>
      <c r="M33" s="388"/>
      <c r="N33" s="388"/>
      <c r="O33" s="388"/>
      <c r="P33" s="388"/>
      <c r="Q33" s="388"/>
      <c r="R33" s="389"/>
      <c r="S33" s="70" t="s">
        <v>159</v>
      </c>
      <c r="T33" s="71" t="s">
        <v>160</v>
      </c>
      <c r="U33" s="41" t="s">
        <v>20</v>
      </c>
      <c r="V33" s="100" t="s">
        <v>161</v>
      </c>
    </row>
    <row r="34" spans="1:22" ht="29">
      <c r="A34" s="61"/>
      <c r="B34" s="62"/>
      <c r="C34" s="62"/>
      <c r="D34" s="62"/>
      <c r="E34" s="62"/>
      <c r="F34" s="71"/>
      <c r="G34" s="387" t="s">
        <v>162</v>
      </c>
      <c r="H34" s="388"/>
      <c r="I34" s="388"/>
      <c r="J34" s="388"/>
      <c r="K34" s="388"/>
      <c r="L34" s="388"/>
      <c r="M34" s="388"/>
      <c r="N34" s="388"/>
      <c r="O34" s="388"/>
      <c r="P34" s="388"/>
      <c r="Q34" s="388"/>
      <c r="R34" s="389"/>
      <c r="S34" s="70" t="s">
        <v>163</v>
      </c>
      <c r="T34" s="71" t="s">
        <v>160</v>
      </c>
      <c r="U34" s="41"/>
      <c r="V34" s="100"/>
    </row>
    <row r="35" spans="1:22" ht="58">
      <c r="A35" s="61" t="b">
        <v>0</v>
      </c>
      <c r="B35" s="62" t="s">
        <v>38</v>
      </c>
      <c r="C35" s="62"/>
      <c r="D35" s="62" t="b">
        <v>1</v>
      </c>
      <c r="E35" s="62" t="b">
        <v>1</v>
      </c>
      <c r="F35" s="71"/>
      <c r="G35" s="393"/>
      <c r="H35" s="394"/>
      <c r="I35" s="394"/>
      <c r="J35" s="394"/>
      <c r="K35" s="394"/>
      <c r="L35" s="394"/>
      <c r="M35" s="394"/>
      <c r="N35" s="394"/>
      <c r="O35" s="394"/>
      <c r="P35" s="394"/>
      <c r="Q35" s="394"/>
      <c r="R35" s="395"/>
      <c r="S35" s="70" t="s">
        <v>164</v>
      </c>
      <c r="T35" s="71" t="s">
        <v>160</v>
      </c>
      <c r="U35" s="41" t="s">
        <v>20</v>
      </c>
      <c r="V35" s="63"/>
    </row>
    <row r="36" spans="1:22">
      <c r="A36" s="61"/>
      <c r="B36" s="62"/>
      <c r="C36" s="62"/>
      <c r="D36" s="62"/>
      <c r="E36" s="62"/>
      <c r="F36" s="71"/>
      <c r="G36" s="393"/>
      <c r="H36" s="394"/>
      <c r="I36" s="394"/>
      <c r="J36" s="394"/>
      <c r="K36" s="394"/>
      <c r="L36" s="394"/>
      <c r="M36" s="394"/>
      <c r="N36" s="394"/>
      <c r="O36" s="394"/>
      <c r="P36" s="394"/>
      <c r="Q36" s="394"/>
      <c r="R36" s="395"/>
      <c r="S36" s="70"/>
      <c r="T36" s="71"/>
      <c r="U36" s="41"/>
      <c r="V36" s="63"/>
    </row>
    <row r="37" spans="1:22">
      <c r="A37" s="64"/>
      <c r="B37" s="65" t="s">
        <v>39</v>
      </c>
      <c r="C37" s="65"/>
      <c r="D37" s="65" t="b">
        <v>1</v>
      </c>
      <c r="E37" s="65" t="b">
        <v>1</v>
      </c>
      <c r="F37" s="65" t="s">
        <v>40</v>
      </c>
      <c r="G37" s="408"/>
      <c r="H37" s="409"/>
      <c r="I37" s="409"/>
      <c r="J37" s="409"/>
      <c r="K37" s="409"/>
      <c r="L37" s="409"/>
      <c r="M37" s="409"/>
      <c r="N37" s="409"/>
      <c r="O37" s="409"/>
      <c r="P37" s="409"/>
      <c r="Q37" s="409"/>
      <c r="R37" s="410"/>
      <c r="S37" s="152"/>
      <c r="T37" s="65"/>
      <c r="U37" s="41"/>
      <c r="V37" s="63"/>
    </row>
    <row r="38" spans="1:22">
      <c r="A38" s="64"/>
      <c r="B38" s="65"/>
      <c r="C38" s="65"/>
      <c r="D38" s="65"/>
      <c r="E38" s="65"/>
      <c r="F38" s="71" t="s">
        <v>165</v>
      </c>
      <c r="G38" s="438"/>
      <c r="H38" s="439"/>
      <c r="I38" s="439"/>
      <c r="J38" s="439"/>
      <c r="K38" s="439"/>
      <c r="L38" s="439"/>
      <c r="M38" s="439"/>
      <c r="N38" s="439"/>
      <c r="O38" s="439"/>
      <c r="P38" s="439"/>
      <c r="Q38" s="439"/>
      <c r="R38" s="440"/>
      <c r="S38" s="153"/>
      <c r="T38" s="71"/>
      <c r="U38" s="54"/>
      <c r="V38" s="54"/>
    </row>
    <row r="39" spans="1:22" ht="29">
      <c r="A39" s="61" t="b">
        <v>0</v>
      </c>
      <c r="B39" s="62" t="s">
        <v>41</v>
      </c>
      <c r="C39" s="62"/>
      <c r="D39" s="62" t="b">
        <v>0</v>
      </c>
      <c r="E39" s="62" t="b">
        <v>1</v>
      </c>
      <c r="F39" s="71" t="s">
        <v>166</v>
      </c>
      <c r="G39" s="402"/>
      <c r="H39" s="403"/>
      <c r="I39" s="403"/>
      <c r="J39" s="403"/>
      <c r="K39" s="403"/>
      <c r="L39" s="403"/>
      <c r="M39" s="403"/>
      <c r="N39" s="403"/>
      <c r="O39" s="403"/>
      <c r="P39" s="403"/>
      <c r="Q39" s="403"/>
      <c r="R39" s="404"/>
      <c r="S39" s="153" t="s">
        <v>167</v>
      </c>
      <c r="T39" s="71" t="s">
        <v>160</v>
      </c>
      <c r="U39" s="41" t="s">
        <v>20</v>
      </c>
      <c r="V39" s="63"/>
    </row>
    <row r="40" spans="1:22" ht="29">
      <c r="A40" s="52" t="s">
        <v>4</v>
      </c>
      <c r="B40" s="52" t="s">
        <v>5</v>
      </c>
      <c r="C40" s="52" t="s">
        <v>6</v>
      </c>
      <c r="D40" s="52" t="s">
        <v>113</v>
      </c>
      <c r="E40" s="52" t="s">
        <v>114</v>
      </c>
      <c r="F40" s="52" t="s">
        <v>9</v>
      </c>
      <c r="G40" s="52" t="s">
        <v>10</v>
      </c>
      <c r="H40" s="432"/>
      <c r="I40" s="433"/>
      <c r="J40" s="433"/>
      <c r="K40" s="433"/>
      <c r="L40" s="433"/>
      <c r="M40" s="433"/>
      <c r="N40" s="433"/>
      <c r="O40" s="433"/>
      <c r="P40" s="433"/>
      <c r="Q40" s="433"/>
      <c r="R40" s="434"/>
      <c r="S40" s="151"/>
      <c r="T40" s="52" t="s">
        <v>12</v>
      </c>
      <c r="U40" s="16" t="s">
        <v>13</v>
      </c>
      <c r="V40" s="16" t="s">
        <v>14</v>
      </c>
    </row>
    <row r="41" spans="1:22">
      <c r="A41" s="55"/>
      <c r="B41" s="56" t="s">
        <v>15</v>
      </c>
      <c r="C41" s="56"/>
      <c r="D41" s="56" t="b">
        <v>0</v>
      </c>
      <c r="E41" s="56" t="b">
        <v>1</v>
      </c>
      <c r="F41" s="56" t="s">
        <v>16</v>
      </c>
      <c r="G41" s="57" t="s">
        <v>168</v>
      </c>
      <c r="H41" s="426"/>
      <c r="I41" s="427"/>
      <c r="J41" s="427"/>
      <c r="K41" s="427"/>
      <c r="L41" s="427"/>
      <c r="M41" s="427"/>
      <c r="N41" s="427"/>
      <c r="O41" s="427"/>
      <c r="P41" s="427"/>
      <c r="Q41" s="427"/>
      <c r="R41" s="428"/>
      <c r="S41" s="72"/>
      <c r="T41" s="56"/>
      <c r="U41" s="57"/>
      <c r="V41" s="57"/>
    </row>
    <row r="42" spans="1:22">
      <c r="A42" s="58"/>
      <c r="B42" s="59" t="s">
        <v>17</v>
      </c>
      <c r="C42" s="59"/>
      <c r="D42" s="59" t="b">
        <v>0</v>
      </c>
      <c r="E42" s="59" t="b">
        <v>1</v>
      </c>
      <c r="F42" s="59" t="s">
        <v>18</v>
      </c>
      <c r="G42" s="293"/>
      <c r="H42" s="294"/>
      <c r="I42" s="294"/>
      <c r="J42" s="294"/>
      <c r="K42" s="294"/>
      <c r="L42" s="294"/>
      <c r="M42" s="294"/>
      <c r="N42" s="294"/>
      <c r="O42" s="294"/>
      <c r="P42" s="294"/>
      <c r="Q42" s="294"/>
      <c r="R42" s="295"/>
      <c r="S42" s="73"/>
      <c r="T42" s="59"/>
      <c r="U42" s="59"/>
      <c r="V42" s="60"/>
    </row>
    <row r="43" spans="1:22" hidden="1">
      <c r="A43" s="61" t="b">
        <v>1</v>
      </c>
      <c r="B43" s="62" t="s">
        <v>21</v>
      </c>
      <c r="C43" s="62"/>
      <c r="D43" s="62" t="b">
        <v>0</v>
      </c>
      <c r="E43" s="62" t="b">
        <v>1</v>
      </c>
      <c r="F43" s="71" t="s">
        <v>22</v>
      </c>
      <c r="G43" s="54" t="s">
        <v>57</v>
      </c>
      <c r="H43" s="176"/>
      <c r="I43" s="176"/>
      <c r="J43" s="176"/>
      <c r="K43" s="176"/>
      <c r="L43" s="176"/>
      <c r="M43" s="176"/>
      <c r="N43" s="176"/>
      <c r="O43" s="176"/>
      <c r="P43" s="176"/>
      <c r="Q43" s="176"/>
      <c r="R43" s="176"/>
      <c r="S43" s="70"/>
      <c r="T43" s="71"/>
      <c r="U43" s="54"/>
      <c r="V43" s="63"/>
    </row>
    <row r="44" spans="1:22" hidden="1">
      <c r="A44" s="61" t="b">
        <v>0</v>
      </c>
      <c r="B44" s="62" t="s">
        <v>24</v>
      </c>
      <c r="C44" s="62"/>
      <c r="D44" s="62" t="b">
        <v>0</v>
      </c>
      <c r="E44" s="62" t="b">
        <v>1</v>
      </c>
      <c r="F44" s="71" t="s">
        <v>25</v>
      </c>
      <c r="G44" s="54">
        <v>1</v>
      </c>
      <c r="H44" s="176"/>
      <c r="I44" s="176"/>
      <c r="J44" s="176"/>
      <c r="K44" s="176"/>
      <c r="L44" s="176"/>
      <c r="M44" s="176"/>
      <c r="N44" s="176"/>
      <c r="O44" s="176"/>
      <c r="P44" s="176"/>
      <c r="Q44" s="176"/>
      <c r="R44" s="176"/>
      <c r="S44" s="70"/>
      <c r="T44" s="71"/>
      <c r="U44" s="54"/>
      <c r="V44" s="63"/>
    </row>
    <row r="45" spans="1:22" hidden="1">
      <c r="A45" s="61" t="b">
        <v>0</v>
      </c>
      <c r="B45" s="62" t="s">
        <v>26</v>
      </c>
      <c r="C45" s="62"/>
      <c r="D45" s="62" t="b">
        <v>0</v>
      </c>
      <c r="E45" s="62" t="b">
        <v>1</v>
      </c>
      <c r="F45" s="71" t="s">
        <v>27</v>
      </c>
      <c r="G45" s="54"/>
      <c r="H45" s="176"/>
      <c r="I45" s="176"/>
      <c r="J45" s="176"/>
      <c r="K45" s="176"/>
      <c r="L45" s="176"/>
      <c r="M45" s="176"/>
      <c r="N45" s="176"/>
      <c r="O45" s="176"/>
      <c r="P45" s="176"/>
      <c r="Q45" s="176"/>
      <c r="R45" s="176"/>
      <c r="S45" s="70"/>
      <c r="T45" s="71"/>
      <c r="U45" s="54"/>
      <c r="V45" s="63"/>
    </row>
    <row r="46" spans="1:22" hidden="1">
      <c r="A46" s="61" t="b">
        <v>1</v>
      </c>
      <c r="B46" s="62" t="s">
        <v>28</v>
      </c>
      <c r="C46" s="62"/>
      <c r="D46" s="62" t="b">
        <v>0</v>
      </c>
      <c r="E46" s="62" t="b">
        <v>1</v>
      </c>
      <c r="F46" s="71" t="s">
        <v>29</v>
      </c>
      <c r="G46" s="54" t="s">
        <v>30</v>
      </c>
      <c r="H46" s="176"/>
      <c r="I46" s="176"/>
      <c r="J46" s="176"/>
      <c r="K46" s="176"/>
      <c r="L46" s="176"/>
      <c r="M46" s="176"/>
      <c r="N46" s="176"/>
      <c r="O46" s="176"/>
      <c r="P46" s="176"/>
      <c r="Q46" s="176"/>
      <c r="R46" s="176"/>
      <c r="S46" s="70"/>
      <c r="T46" s="71"/>
      <c r="U46" s="54"/>
      <c r="V46" s="63"/>
    </row>
    <row r="47" spans="1:22" ht="29">
      <c r="A47" s="61" t="b">
        <v>0</v>
      </c>
      <c r="B47" s="62" t="s">
        <v>118</v>
      </c>
      <c r="C47" s="62" t="s">
        <v>119</v>
      </c>
      <c r="D47" s="62" t="b">
        <v>0</v>
      </c>
      <c r="E47" s="62" t="b">
        <v>1</v>
      </c>
      <c r="F47" s="71" t="s">
        <v>47</v>
      </c>
      <c r="G47" s="368"/>
      <c r="H47" s="369"/>
      <c r="I47" s="369"/>
      <c r="J47" s="369"/>
      <c r="K47" s="369"/>
      <c r="L47" s="369"/>
      <c r="M47" s="369"/>
      <c r="N47" s="369"/>
      <c r="O47" s="369"/>
      <c r="P47" s="369"/>
      <c r="Q47" s="369"/>
      <c r="R47" s="370"/>
      <c r="S47" s="176"/>
      <c r="T47" s="71" t="s">
        <v>120</v>
      </c>
      <c r="U47" s="41" t="s">
        <v>20</v>
      </c>
      <c r="V47" s="63"/>
    </row>
    <row r="48" spans="1:22" hidden="1">
      <c r="A48" s="64"/>
      <c r="B48" s="65" t="s">
        <v>31</v>
      </c>
      <c r="C48" s="65"/>
      <c r="D48" s="65" t="b">
        <v>0</v>
      </c>
      <c r="E48" s="65" t="b">
        <v>1</v>
      </c>
      <c r="F48" s="65" t="s">
        <v>32</v>
      </c>
      <c r="G48" s="66"/>
      <c r="H48" s="174"/>
      <c r="I48" s="174"/>
      <c r="J48" s="174"/>
      <c r="K48" s="174"/>
      <c r="L48" s="174"/>
      <c r="M48" s="174"/>
      <c r="N48" s="174"/>
      <c r="O48" s="174"/>
      <c r="P48" s="174"/>
      <c r="Q48" s="174"/>
      <c r="R48" s="174"/>
      <c r="S48" s="152" t="s">
        <v>121</v>
      </c>
      <c r="T48" s="65"/>
      <c r="U48" s="66"/>
      <c r="V48" s="66"/>
    </row>
    <row r="49" spans="1:22" ht="30" customHeight="1">
      <c r="A49" s="64"/>
      <c r="B49" s="65"/>
      <c r="C49" s="65"/>
      <c r="D49" s="65"/>
      <c r="E49" s="65"/>
      <c r="F49" s="71"/>
      <c r="G49" s="66"/>
      <c r="H49" s="174"/>
      <c r="I49" s="174"/>
      <c r="J49" s="174"/>
      <c r="K49" s="174"/>
      <c r="L49" s="174"/>
      <c r="M49" s="413" t="s">
        <v>169</v>
      </c>
      <c r="N49" s="414"/>
      <c r="O49" s="415" t="s">
        <v>170</v>
      </c>
      <c r="P49" s="416"/>
      <c r="Q49" s="174"/>
      <c r="R49" s="174"/>
      <c r="S49" s="154"/>
      <c r="T49" s="71"/>
      <c r="U49" s="41"/>
      <c r="V49" s="63"/>
    </row>
    <row r="50" spans="1:22" ht="59.25" customHeight="1">
      <c r="A50" s="64"/>
      <c r="B50" s="65"/>
      <c r="C50" s="65"/>
      <c r="D50" s="65"/>
      <c r="E50" s="65"/>
      <c r="F50" s="71"/>
      <c r="G50" s="173" t="s">
        <v>171</v>
      </c>
      <c r="H50" s="173" t="s">
        <v>172</v>
      </c>
      <c r="I50" s="173" t="s">
        <v>173</v>
      </c>
      <c r="J50" s="173" t="s">
        <v>174</v>
      </c>
      <c r="K50" s="173" t="s">
        <v>175</v>
      </c>
      <c r="L50" s="173" t="s">
        <v>176</v>
      </c>
      <c r="M50" s="173" t="s">
        <v>177</v>
      </c>
      <c r="N50" s="173" t="s">
        <v>178</v>
      </c>
      <c r="O50" s="173" t="s">
        <v>177</v>
      </c>
      <c r="P50" s="173" t="s">
        <v>178</v>
      </c>
      <c r="Q50" s="173" t="s">
        <v>179</v>
      </c>
      <c r="R50" s="173" t="s">
        <v>180</v>
      </c>
      <c r="S50" s="154"/>
      <c r="T50" s="71"/>
      <c r="U50" s="41"/>
      <c r="V50" s="63"/>
    </row>
    <row r="51" spans="1:22" ht="79" customHeight="1">
      <c r="A51" s="64"/>
      <c r="B51" s="65"/>
      <c r="C51" s="65"/>
      <c r="D51" s="65"/>
      <c r="E51" s="65"/>
      <c r="F51" s="179" t="s">
        <v>181</v>
      </c>
      <c r="G51" s="171" t="s">
        <v>182</v>
      </c>
      <c r="H51" s="177">
        <v>14</v>
      </c>
      <c r="I51" s="172">
        <v>6</v>
      </c>
      <c r="J51" s="172">
        <v>8</v>
      </c>
      <c r="K51" s="172">
        <v>20</v>
      </c>
      <c r="L51" s="172" t="s">
        <v>183</v>
      </c>
      <c r="M51" s="172" t="s">
        <v>184</v>
      </c>
      <c r="N51" s="172" t="s">
        <v>185</v>
      </c>
      <c r="O51" s="172" t="s">
        <v>186</v>
      </c>
      <c r="P51" s="172" t="s">
        <v>187</v>
      </c>
      <c r="Q51" s="172" t="s">
        <v>188</v>
      </c>
      <c r="R51" s="172"/>
      <c r="S51" s="154" t="s">
        <v>189</v>
      </c>
      <c r="T51" s="71"/>
      <c r="U51" s="41"/>
      <c r="V51" s="63"/>
    </row>
    <row r="52" spans="1:22" ht="59.25" customHeight="1">
      <c r="A52" s="64"/>
      <c r="B52" s="65"/>
      <c r="C52" s="65"/>
      <c r="D52" s="65"/>
      <c r="E52" s="65"/>
      <c r="F52" s="179" t="s">
        <v>181</v>
      </c>
      <c r="G52" s="171" t="s">
        <v>190</v>
      </c>
      <c r="H52" s="177">
        <v>10</v>
      </c>
      <c r="I52" s="172">
        <v>2</v>
      </c>
      <c r="J52" s="172">
        <v>8</v>
      </c>
      <c r="K52" s="172">
        <v>12</v>
      </c>
      <c r="L52" s="172" t="s">
        <v>191</v>
      </c>
      <c r="M52" s="172" t="s">
        <v>192</v>
      </c>
      <c r="N52" s="172" t="s">
        <v>193</v>
      </c>
      <c r="O52" s="172" t="s">
        <v>187</v>
      </c>
      <c r="P52" s="172" t="s">
        <v>194</v>
      </c>
      <c r="Q52" s="172"/>
      <c r="R52" s="172" t="s">
        <v>188</v>
      </c>
      <c r="S52" s="154" t="s">
        <v>195</v>
      </c>
      <c r="T52" s="71"/>
      <c r="U52" s="41"/>
      <c r="V52" s="63"/>
    </row>
    <row r="53" spans="1:22">
      <c r="A53" s="61" t="b">
        <v>1</v>
      </c>
      <c r="B53" s="62" t="s">
        <v>196</v>
      </c>
      <c r="C53" s="62"/>
      <c r="D53" s="62" t="b">
        <v>1</v>
      </c>
      <c r="E53" s="62" t="b">
        <v>1</v>
      </c>
      <c r="F53" s="65" t="s">
        <v>32</v>
      </c>
      <c r="G53" s="66"/>
      <c r="H53" s="174"/>
      <c r="I53" s="174"/>
      <c r="J53" s="174"/>
      <c r="K53" s="174"/>
      <c r="L53" s="174"/>
      <c r="M53" s="174"/>
      <c r="N53" s="68"/>
      <c r="O53" s="68"/>
      <c r="P53" s="68"/>
      <c r="Q53" s="68"/>
      <c r="R53" s="68"/>
      <c r="S53" s="154"/>
      <c r="T53" s="71" t="s">
        <v>153</v>
      </c>
      <c r="U53" s="41" t="s">
        <v>127</v>
      </c>
      <c r="V53" s="63"/>
    </row>
    <row r="54" spans="1:22" ht="58">
      <c r="A54" s="61" t="b">
        <v>1</v>
      </c>
      <c r="B54" s="62" t="s">
        <v>196</v>
      </c>
      <c r="C54" s="62"/>
      <c r="D54" s="62" t="b">
        <v>1</v>
      </c>
      <c r="E54" s="62" t="b">
        <v>1</v>
      </c>
      <c r="F54" s="65" t="s">
        <v>32</v>
      </c>
      <c r="G54" s="173" t="s">
        <v>171</v>
      </c>
      <c r="H54" s="173" t="s">
        <v>172</v>
      </c>
      <c r="I54" s="173" t="s">
        <v>175</v>
      </c>
      <c r="J54" s="173" t="s">
        <v>176</v>
      </c>
      <c r="K54" s="173" t="s">
        <v>197</v>
      </c>
      <c r="L54" s="173" t="s">
        <v>170</v>
      </c>
      <c r="M54" s="173" t="s">
        <v>198</v>
      </c>
      <c r="N54" s="68"/>
      <c r="O54" s="68"/>
      <c r="P54" s="68"/>
      <c r="Q54" s="68"/>
      <c r="R54" s="68"/>
      <c r="S54" s="154"/>
      <c r="T54" s="71" t="s">
        <v>153</v>
      </c>
      <c r="U54" s="41" t="s">
        <v>127</v>
      </c>
      <c r="V54" s="63"/>
    </row>
    <row r="55" spans="1:22" ht="29">
      <c r="A55" s="61" t="b">
        <v>1</v>
      </c>
      <c r="B55" s="62" t="s">
        <v>196</v>
      </c>
      <c r="C55" s="62"/>
      <c r="D55" s="62" t="b">
        <v>1</v>
      </c>
      <c r="E55" s="62" t="b">
        <v>1</v>
      </c>
      <c r="F55" s="71" t="s">
        <v>199</v>
      </c>
      <c r="G55" s="68" t="s">
        <v>200</v>
      </c>
      <c r="H55" s="193" t="s">
        <v>201</v>
      </c>
      <c r="I55" s="193">
        <v>16</v>
      </c>
      <c r="J55" s="193" t="s">
        <v>202</v>
      </c>
      <c r="K55" s="193" t="s">
        <v>203</v>
      </c>
      <c r="L55" s="193" t="s">
        <v>204</v>
      </c>
      <c r="M55" s="193" t="s">
        <v>188</v>
      </c>
      <c r="N55" s="68"/>
      <c r="O55" s="68"/>
      <c r="P55" s="68"/>
      <c r="Q55" s="68"/>
      <c r="R55" s="68"/>
      <c r="S55" s="154"/>
      <c r="T55" s="71" t="s">
        <v>153</v>
      </c>
      <c r="U55" s="41" t="s">
        <v>127</v>
      </c>
      <c r="V55" s="63"/>
    </row>
    <row r="56" spans="1:22" ht="29">
      <c r="A56" s="61" t="b">
        <v>1</v>
      </c>
      <c r="B56" s="62" t="s">
        <v>196</v>
      </c>
      <c r="C56" s="62"/>
      <c r="D56" s="62" t="b">
        <v>1</v>
      </c>
      <c r="E56" s="62" t="b">
        <v>1</v>
      </c>
      <c r="F56" s="71" t="s">
        <v>205</v>
      </c>
      <c r="G56" s="68" t="s">
        <v>206</v>
      </c>
      <c r="H56" s="193" t="s">
        <v>201</v>
      </c>
      <c r="I56" s="193">
        <v>16</v>
      </c>
      <c r="J56" s="193" t="s">
        <v>202</v>
      </c>
      <c r="K56" s="193" t="s">
        <v>207</v>
      </c>
      <c r="L56" s="193" t="s">
        <v>208</v>
      </c>
      <c r="M56" s="193" t="s">
        <v>188</v>
      </c>
      <c r="N56" s="68"/>
      <c r="O56" s="68"/>
      <c r="P56" s="68"/>
      <c r="Q56" s="68"/>
      <c r="R56" s="68"/>
      <c r="S56" s="154"/>
      <c r="T56" s="71" t="s">
        <v>153</v>
      </c>
      <c r="U56" s="41" t="s">
        <v>127</v>
      </c>
      <c r="V56" s="63"/>
    </row>
    <row r="57" spans="1:22" ht="29">
      <c r="A57" s="61" t="b">
        <v>1</v>
      </c>
      <c r="B57" s="62" t="s">
        <v>196</v>
      </c>
      <c r="C57" s="62"/>
      <c r="D57" s="62" t="b">
        <v>1</v>
      </c>
      <c r="E57" s="62" t="b">
        <v>1</v>
      </c>
      <c r="F57" s="71" t="s">
        <v>209</v>
      </c>
      <c r="G57" s="68" t="s">
        <v>210</v>
      </c>
      <c r="H57" s="193" t="s">
        <v>201</v>
      </c>
      <c r="I57" s="193">
        <v>16</v>
      </c>
      <c r="J57" s="193" t="s">
        <v>202</v>
      </c>
      <c r="K57" s="193" t="s">
        <v>207</v>
      </c>
      <c r="L57" s="193" t="s">
        <v>211</v>
      </c>
      <c r="M57" s="193" t="s">
        <v>188</v>
      </c>
      <c r="N57" s="68"/>
      <c r="O57" s="68"/>
      <c r="P57" s="68"/>
      <c r="Q57" s="68"/>
      <c r="R57" s="68"/>
      <c r="S57" s="154"/>
      <c r="T57" s="71" t="s">
        <v>153</v>
      </c>
      <c r="U57" s="41" t="s">
        <v>127</v>
      </c>
      <c r="V57" s="63"/>
    </row>
    <row r="58" spans="1:22" ht="29">
      <c r="A58" s="61" t="b">
        <v>1</v>
      </c>
      <c r="B58" s="62" t="s">
        <v>196</v>
      </c>
      <c r="C58" s="62"/>
      <c r="D58" s="62" t="b">
        <v>1</v>
      </c>
      <c r="E58" s="62" t="b">
        <v>1</v>
      </c>
      <c r="F58" s="71" t="s">
        <v>212</v>
      </c>
      <c r="G58" s="68" t="s">
        <v>213</v>
      </c>
      <c r="H58" s="193" t="s">
        <v>214</v>
      </c>
      <c r="I58" s="193">
        <v>12</v>
      </c>
      <c r="J58" s="193" t="s">
        <v>202</v>
      </c>
      <c r="K58" s="193" t="s">
        <v>215</v>
      </c>
      <c r="L58" s="193" t="s">
        <v>216</v>
      </c>
      <c r="M58" s="193" t="s">
        <v>188</v>
      </c>
      <c r="N58" s="68"/>
      <c r="O58" s="68"/>
      <c r="P58" s="68"/>
      <c r="Q58" s="68"/>
      <c r="R58" s="68"/>
      <c r="S58" s="154"/>
      <c r="T58" s="71" t="s">
        <v>153</v>
      </c>
      <c r="U58" s="41" t="s">
        <v>127</v>
      </c>
      <c r="V58" s="63"/>
    </row>
    <row r="59" spans="1:22" ht="31.5" customHeight="1">
      <c r="A59" s="61" t="b">
        <v>1</v>
      </c>
      <c r="B59" s="62" t="s">
        <v>196</v>
      </c>
      <c r="C59" s="62"/>
      <c r="D59" s="62" t="b">
        <v>1</v>
      </c>
      <c r="E59" s="62" t="b">
        <v>1</v>
      </c>
      <c r="F59" s="71" t="s">
        <v>217</v>
      </c>
      <c r="G59" s="68" t="s">
        <v>218</v>
      </c>
      <c r="H59" s="193" t="s">
        <v>201</v>
      </c>
      <c r="I59" s="193">
        <v>16</v>
      </c>
      <c r="J59" s="193" t="s">
        <v>202</v>
      </c>
      <c r="K59" s="193" t="s">
        <v>207</v>
      </c>
      <c r="L59" s="193" t="s">
        <v>211</v>
      </c>
      <c r="M59" s="193"/>
      <c r="N59" s="68"/>
      <c r="O59" s="68"/>
      <c r="P59" s="68"/>
      <c r="Q59" s="68"/>
      <c r="R59" s="68"/>
      <c r="S59" s="154"/>
      <c r="T59" s="71" t="s">
        <v>153</v>
      </c>
      <c r="U59" s="41" t="s">
        <v>127</v>
      </c>
      <c r="V59" s="63"/>
    </row>
    <row r="60" spans="1:22" ht="32.25" customHeight="1">
      <c r="A60" s="61" t="b">
        <v>1</v>
      </c>
      <c r="B60" s="62" t="s">
        <v>196</v>
      </c>
      <c r="C60" s="62"/>
      <c r="D60" s="62" t="b">
        <v>1</v>
      </c>
      <c r="E60" s="62" t="b">
        <v>1</v>
      </c>
      <c r="F60" s="71" t="s">
        <v>219</v>
      </c>
      <c r="G60" s="68" t="s">
        <v>220</v>
      </c>
      <c r="H60" s="193" t="s">
        <v>214</v>
      </c>
      <c r="I60" s="193">
        <v>12</v>
      </c>
      <c r="J60" s="193" t="s">
        <v>202</v>
      </c>
      <c r="K60" s="193" t="s">
        <v>215</v>
      </c>
      <c r="L60" s="193" t="s">
        <v>216</v>
      </c>
      <c r="M60" s="68"/>
      <c r="N60" s="68"/>
      <c r="O60" s="68"/>
      <c r="P60" s="68"/>
      <c r="Q60" s="68"/>
      <c r="R60" s="68"/>
      <c r="S60" s="154"/>
      <c r="T60" s="71" t="s">
        <v>153</v>
      </c>
      <c r="U60" s="41" t="s">
        <v>127</v>
      </c>
      <c r="V60" s="63"/>
    </row>
    <row r="61" spans="1:22">
      <c r="A61" s="61" t="b">
        <v>1</v>
      </c>
      <c r="B61" s="62" t="s">
        <v>196</v>
      </c>
      <c r="C61" s="62"/>
      <c r="D61" s="62" t="b">
        <v>1</v>
      </c>
      <c r="E61" s="62" t="b">
        <v>1</v>
      </c>
      <c r="F61" s="71" t="s">
        <v>221</v>
      </c>
      <c r="G61" s="68"/>
      <c r="H61" s="68"/>
      <c r="I61" s="68"/>
      <c r="J61" s="68"/>
      <c r="K61" s="68"/>
      <c r="L61" s="68"/>
      <c r="M61" s="68"/>
      <c r="N61" s="68"/>
      <c r="O61" s="68"/>
      <c r="P61" s="68"/>
      <c r="Q61" s="68"/>
      <c r="R61" s="68"/>
      <c r="S61" s="70"/>
      <c r="T61" s="71" t="s">
        <v>153</v>
      </c>
      <c r="U61" s="41" t="s">
        <v>20</v>
      </c>
      <c r="V61" s="63"/>
    </row>
    <row r="62" spans="1:22">
      <c r="A62" s="61" t="b">
        <v>1</v>
      </c>
      <c r="B62" s="62" t="s">
        <v>196</v>
      </c>
      <c r="C62" s="62"/>
      <c r="D62" s="62" t="b">
        <v>1</v>
      </c>
      <c r="E62" s="62" t="b">
        <v>1</v>
      </c>
      <c r="F62" s="71" t="s">
        <v>222</v>
      </c>
      <c r="G62" s="68"/>
      <c r="H62" s="68"/>
      <c r="I62" s="68"/>
      <c r="J62" s="68"/>
      <c r="K62" s="68"/>
      <c r="L62" s="68"/>
      <c r="M62" s="68"/>
      <c r="N62" s="68"/>
      <c r="O62" s="68"/>
      <c r="P62" s="68"/>
      <c r="Q62" s="68"/>
      <c r="R62" s="68"/>
      <c r="S62" s="70"/>
      <c r="T62" s="71" t="s">
        <v>153</v>
      </c>
      <c r="U62" s="41" t="s">
        <v>20</v>
      </c>
      <c r="V62" s="63"/>
    </row>
    <row r="63" spans="1:22" ht="30" customHeight="1">
      <c r="A63" s="61" t="b">
        <v>0</v>
      </c>
      <c r="B63" s="62" t="s">
        <v>118</v>
      </c>
      <c r="C63" s="62"/>
      <c r="D63" s="62" t="b">
        <v>0</v>
      </c>
      <c r="E63" s="62" t="b">
        <v>1</v>
      </c>
      <c r="F63" s="71" t="s">
        <v>165</v>
      </c>
      <c r="G63" s="326" t="s">
        <v>223</v>
      </c>
      <c r="H63" s="327"/>
      <c r="I63" s="327"/>
      <c r="J63" s="327"/>
      <c r="K63" s="327"/>
      <c r="L63" s="327"/>
      <c r="M63" s="327"/>
      <c r="N63" s="327"/>
      <c r="O63" s="327"/>
      <c r="P63" s="327"/>
      <c r="Q63" s="327"/>
      <c r="R63" s="328"/>
      <c r="S63" s="70"/>
      <c r="T63" s="71"/>
      <c r="U63" s="41" t="s">
        <v>20</v>
      </c>
      <c r="V63" s="63"/>
    </row>
    <row r="64" spans="1:22" ht="29">
      <c r="A64" s="61" t="b">
        <v>1</v>
      </c>
      <c r="B64" s="62" t="s">
        <v>224</v>
      </c>
      <c r="C64" s="62"/>
      <c r="D64" s="62" t="b">
        <v>1</v>
      </c>
      <c r="E64" s="62" t="b">
        <v>1</v>
      </c>
      <c r="F64" s="71" t="s">
        <v>225</v>
      </c>
      <c r="G64" s="317" t="s">
        <v>226</v>
      </c>
      <c r="H64" s="318"/>
      <c r="I64" s="318"/>
      <c r="J64" s="318"/>
      <c r="K64" s="318"/>
      <c r="L64" s="318"/>
      <c r="M64" s="318"/>
      <c r="N64" s="318"/>
      <c r="O64" s="318"/>
      <c r="P64" s="318"/>
      <c r="Q64" s="318"/>
      <c r="R64" s="319"/>
      <c r="S64" s="70" t="s">
        <v>227</v>
      </c>
      <c r="T64" s="71" t="s">
        <v>153</v>
      </c>
      <c r="U64" s="41" t="s">
        <v>127</v>
      </c>
      <c r="V64" s="63"/>
    </row>
    <row r="65" spans="1:22" ht="29">
      <c r="A65" s="61" t="b">
        <v>1</v>
      </c>
      <c r="B65" s="62" t="s">
        <v>224</v>
      </c>
      <c r="C65" s="62"/>
      <c r="D65" s="62" t="b">
        <v>1</v>
      </c>
      <c r="E65" s="62" t="b">
        <v>1</v>
      </c>
      <c r="F65" s="71" t="s">
        <v>228</v>
      </c>
      <c r="G65" s="317"/>
      <c r="H65" s="318"/>
      <c r="I65" s="318"/>
      <c r="J65" s="318"/>
      <c r="K65" s="318"/>
      <c r="L65" s="318"/>
      <c r="M65" s="318"/>
      <c r="N65" s="318"/>
      <c r="O65" s="318"/>
      <c r="P65" s="318"/>
      <c r="Q65" s="318"/>
      <c r="R65" s="319"/>
      <c r="S65" s="70" t="s">
        <v>229</v>
      </c>
      <c r="T65" s="71" t="s">
        <v>153</v>
      </c>
      <c r="U65" s="41" t="s">
        <v>20</v>
      </c>
      <c r="V65" s="63"/>
    </row>
    <row r="66" spans="1:22" ht="29">
      <c r="A66" s="61" t="b">
        <v>1</v>
      </c>
      <c r="B66" s="62" t="s">
        <v>224</v>
      </c>
      <c r="C66" s="62"/>
      <c r="D66" s="62" t="b">
        <v>1</v>
      </c>
      <c r="E66" s="62" t="b">
        <v>1</v>
      </c>
      <c r="F66" s="71" t="s">
        <v>230</v>
      </c>
      <c r="G66" s="317"/>
      <c r="H66" s="318"/>
      <c r="I66" s="318"/>
      <c r="J66" s="318"/>
      <c r="K66" s="318"/>
      <c r="L66" s="318"/>
      <c r="M66" s="318"/>
      <c r="N66" s="318"/>
      <c r="O66" s="318"/>
      <c r="P66" s="318"/>
      <c r="Q66" s="318"/>
      <c r="R66" s="319"/>
      <c r="S66" s="70" t="s">
        <v>231</v>
      </c>
      <c r="T66" s="71" t="s">
        <v>153</v>
      </c>
      <c r="U66" s="41" t="s">
        <v>20</v>
      </c>
      <c r="V66" s="63"/>
    </row>
    <row r="67" spans="1:22" ht="29">
      <c r="A67" s="61" t="b">
        <v>1</v>
      </c>
      <c r="B67" s="62" t="s">
        <v>224</v>
      </c>
      <c r="C67" s="62"/>
      <c r="D67" s="62" t="b">
        <v>1</v>
      </c>
      <c r="E67" s="62" t="b">
        <v>1</v>
      </c>
      <c r="F67" s="71" t="s">
        <v>232</v>
      </c>
      <c r="G67" s="317"/>
      <c r="H67" s="318"/>
      <c r="I67" s="318"/>
      <c r="J67" s="318"/>
      <c r="K67" s="318"/>
      <c r="L67" s="318"/>
      <c r="M67" s="318"/>
      <c r="N67" s="318"/>
      <c r="O67" s="318"/>
      <c r="P67" s="318"/>
      <c r="Q67" s="318"/>
      <c r="R67" s="319"/>
      <c r="S67" s="70"/>
      <c r="T67" s="71" t="s">
        <v>153</v>
      </c>
      <c r="U67" s="41" t="s">
        <v>20</v>
      </c>
      <c r="V67" s="63"/>
    </row>
    <row r="68" spans="1:22" ht="29">
      <c r="A68" s="61" t="b">
        <v>1</v>
      </c>
      <c r="B68" s="62" t="s">
        <v>224</v>
      </c>
      <c r="C68" s="62"/>
      <c r="D68" s="62" t="b">
        <v>1</v>
      </c>
      <c r="E68" s="62" t="b">
        <v>1</v>
      </c>
      <c r="F68" s="71" t="s">
        <v>233</v>
      </c>
      <c r="G68" s="317"/>
      <c r="H68" s="318"/>
      <c r="I68" s="318"/>
      <c r="J68" s="318"/>
      <c r="K68" s="318"/>
      <c r="L68" s="318"/>
      <c r="M68" s="318"/>
      <c r="N68" s="318"/>
      <c r="O68" s="318"/>
      <c r="P68" s="318"/>
      <c r="Q68" s="318"/>
      <c r="R68" s="319"/>
      <c r="S68" s="70"/>
      <c r="T68" s="71" t="s">
        <v>153</v>
      </c>
      <c r="U68" s="41" t="s">
        <v>20</v>
      </c>
      <c r="V68" s="63"/>
    </row>
    <row r="69" spans="1:22" ht="29">
      <c r="A69" s="61" t="b">
        <v>1</v>
      </c>
      <c r="B69" s="62" t="s">
        <v>224</v>
      </c>
      <c r="C69" s="62"/>
      <c r="D69" s="62" t="b">
        <v>1</v>
      </c>
      <c r="E69" s="62" t="b">
        <v>1</v>
      </c>
      <c r="F69" s="71" t="s">
        <v>234</v>
      </c>
      <c r="G69" s="317"/>
      <c r="H69" s="318"/>
      <c r="I69" s="318"/>
      <c r="J69" s="318"/>
      <c r="K69" s="318"/>
      <c r="L69" s="318"/>
      <c r="M69" s="318"/>
      <c r="N69" s="318"/>
      <c r="O69" s="318"/>
      <c r="P69" s="318"/>
      <c r="Q69" s="318"/>
      <c r="R69" s="319"/>
      <c r="S69" s="70"/>
      <c r="T69" s="71" t="s">
        <v>153</v>
      </c>
      <c r="U69" s="41" t="s">
        <v>20</v>
      </c>
      <c r="V69" s="63"/>
    </row>
    <row r="70" spans="1:22" ht="29">
      <c r="A70" s="61" t="b">
        <v>1</v>
      </c>
      <c r="B70" s="62" t="s">
        <v>224</v>
      </c>
      <c r="C70" s="62"/>
      <c r="D70" s="62" t="b">
        <v>1</v>
      </c>
      <c r="E70" s="62" t="b">
        <v>1</v>
      </c>
      <c r="F70" s="71" t="s">
        <v>235</v>
      </c>
      <c r="G70" s="317"/>
      <c r="H70" s="318"/>
      <c r="I70" s="318"/>
      <c r="J70" s="318"/>
      <c r="K70" s="318"/>
      <c r="L70" s="318"/>
      <c r="M70" s="318"/>
      <c r="N70" s="318"/>
      <c r="O70" s="318"/>
      <c r="P70" s="318"/>
      <c r="Q70" s="318"/>
      <c r="R70" s="319"/>
      <c r="S70" s="70"/>
      <c r="T70" s="71" t="s">
        <v>153</v>
      </c>
      <c r="U70" s="41" t="s">
        <v>20</v>
      </c>
      <c r="V70" s="63"/>
    </row>
    <row r="71" spans="1:22" ht="29">
      <c r="A71" s="61" t="b">
        <v>1</v>
      </c>
      <c r="B71" s="62" t="s">
        <v>224</v>
      </c>
      <c r="C71" s="62"/>
      <c r="D71" s="62" t="b">
        <v>1</v>
      </c>
      <c r="E71" s="62" t="b">
        <v>1</v>
      </c>
      <c r="F71" s="71" t="s">
        <v>236</v>
      </c>
      <c r="G71" s="317"/>
      <c r="H71" s="318"/>
      <c r="I71" s="318"/>
      <c r="J71" s="318"/>
      <c r="K71" s="318"/>
      <c r="L71" s="318"/>
      <c r="M71" s="318"/>
      <c r="N71" s="318"/>
      <c r="O71" s="318"/>
      <c r="P71" s="318"/>
      <c r="Q71" s="318"/>
      <c r="R71" s="319"/>
      <c r="S71" s="70"/>
      <c r="T71" s="71" t="s">
        <v>153</v>
      </c>
      <c r="U71" s="41" t="s">
        <v>20</v>
      </c>
      <c r="V71" s="63"/>
    </row>
    <row r="72" spans="1:22" ht="29">
      <c r="A72" s="61" t="b">
        <v>1</v>
      </c>
      <c r="B72" s="62" t="s">
        <v>224</v>
      </c>
      <c r="C72" s="62"/>
      <c r="D72" s="62" t="b">
        <v>1</v>
      </c>
      <c r="E72" s="62" t="b">
        <v>1</v>
      </c>
      <c r="F72" s="71" t="s">
        <v>237</v>
      </c>
      <c r="G72" s="317"/>
      <c r="H72" s="318"/>
      <c r="I72" s="318"/>
      <c r="J72" s="318"/>
      <c r="K72" s="318"/>
      <c r="L72" s="318"/>
      <c r="M72" s="318"/>
      <c r="N72" s="318"/>
      <c r="O72" s="318"/>
      <c r="P72" s="318"/>
      <c r="Q72" s="318"/>
      <c r="R72" s="319"/>
      <c r="S72" s="70"/>
      <c r="T72" s="71" t="s">
        <v>153</v>
      </c>
      <c r="U72" s="41" t="s">
        <v>20</v>
      </c>
      <c r="V72" s="63"/>
    </row>
    <row r="73" spans="1:22" ht="29">
      <c r="A73" s="61" t="b">
        <v>1</v>
      </c>
      <c r="B73" s="62" t="s">
        <v>224</v>
      </c>
      <c r="C73" s="62"/>
      <c r="D73" s="62" t="b">
        <v>1</v>
      </c>
      <c r="E73" s="62" t="b">
        <v>1</v>
      </c>
      <c r="F73" s="71" t="s">
        <v>238</v>
      </c>
      <c r="G73" s="317"/>
      <c r="H73" s="318"/>
      <c r="I73" s="318"/>
      <c r="J73" s="318"/>
      <c r="K73" s="318"/>
      <c r="L73" s="318"/>
      <c r="M73" s="318"/>
      <c r="N73" s="318"/>
      <c r="O73" s="318"/>
      <c r="P73" s="318"/>
      <c r="Q73" s="318"/>
      <c r="R73" s="319"/>
      <c r="S73" s="70"/>
      <c r="T73" s="71" t="s">
        <v>153</v>
      </c>
      <c r="U73" s="41" t="s">
        <v>20</v>
      </c>
      <c r="V73" s="63"/>
    </row>
    <row r="74" spans="1:22">
      <c r="A74" s="64"/>
      <c r="B74" s="65" t="s">
        <v>36</v>
      </c>
      <c r="C74" s="65"/>
      <c r="D74" s="65" t="b">
        <v>0</v>
      </c>
      <c r="E74" s="65" t="b">
        <v>1</v>
      </c>
      <c r="F74" s="65" t="s">
        <v>37</v>
      </c>
      <c r="G74" s="408"/>
      <c r="H74" s="409"/>
      <c r="I74" s="409"/>
      <c r="J74" s="409"/>
      <c r="K74" s="409"/>
      <c r="L74" s="409"/>
      <c r="M74" s="409"/>
      <c r="N74" s="409"/>
      <c r="O74" s="409"/>
      <c r="P74" s="409"/>
      <c r="Q74" s="409"/>
      <c r="R74" s="410"/>
      <c r="S74" s="152" t="s">
        <v>121</v>
      </c>
      <c r="T74" s="65"/>
      <c r="U74" s="65"/>
      <c r="V74" s="65"/>
    </row>
    <row r="75" spans="1:22" ht="76.5" customHeight="1">
      <c r="A75" s="61" t="b">
        <v>0</v>
      </c>
      <c r="B75" s="62" t="s">
        <v>38</v>
      </c>
      <c r="C75" s="62"/>
      <c r="D75" s="62" t="b">
        <v>1</v>
      </c>
      <c r="E75" s="62" t="b">
        <v>1</v>
      </c>
      <c r="F75" s="71"/>
      <c r="G75" s="284" t="s">
        <v>239</v>
      </c>
      <c r="H75" s="285"/>
      <c r="I75" s="285"/>
      <c r="J75" s="285"/>
      <c r="K75" s="285"/>
      <c r="L75" s="285"/>
      <c r="M75" s="285"/>
      <c r="N75" s="285"/>
      <c r="O75" s="285"/>
      <c r="P75" s="285"/>
      <c r="Q75" s="285"/>
      <c r="R75" s="286"/>
      <c r="S75" s="70" t="s">
        <v>240</v>
      </c>
      <c r="T75" s="71" t="s">
        <v>160</v>
      </c>
      <c r="U75" s="41" t="s">
        <v>241</v>
      </c>
      <c r="V75" s="100" t="s">
        <v>161</v>
      </c>
    </row>
    <row r="76" spans="1:22" ht="29">
      <c r="A76" s="61" t="b">
        <v>0</v>
      </c>
      <c r="B76" s="62" t="s">
        <v>38</v>
      </c>
      <c r="C76" s="62"/>
      <c r="D76" s="62" t="b">
        <v>1</v>
      </c>
      <c r="E76" s="62" t="b">
        <v>1</v>
      </c>
      <c r="F76" s="71"/>
      <c r="G76" s="284" t="s">
        <v>242</v>
      </c>
      <c r="H76" s="285"/>
      <c r="I76" s="285"/>
      <c r="J76" s="285"/>
      <c r="K76" s="285"/>
      <c r="L76" s="285"/>
      <c r="M76" s="285"/>
      <c r="N76" s="285"/>
      <c r="O76" s="285"/>
      <c r="P76" s="285"/>
      <c r="Q76" s="285"/>
      <c r="R76" s="286"/>
      <c r="S76" s="70" t="s">
        <v>243</v>
      </c>
      <c r="T76" s="71" t="s">
        <v>160</v>
      </c>
      <c r="U76" s="41" t="s">
        <v>20</v>
      </c>
      <c r="V76" s="100" t="s">
        <v>161</v>
      </c>
    </row>
    <row r="77" spans="1:22" ht="29">
      <c r="A77" s="61" t="b">
        <v>0</v>
      </c>
      <c r="B77" s="62" t="s">
        <v>38</v>
      </c>
      <c r="C77" s="62"/>
      <c r="D77" s="62" t="b">
        <v>1</v>
      </c>
      <c r="E77" s="62" t="b">
        <v>1</v>
      </c>
      <c r="F77" s="71"/>
      <c r="G77" s="284" t="s">
        <v>244</v>
      </c>
      <c r="H77" s="285"/>
      <c r="I77" s="285"/>
      <c r="J77" s="285"/>
      <c r="K77" s="285"/>
      <c r="L77" s="285"/>
      <c r="M77" s="285"/>
      <c r="N77" s="285"/>
      <c r="O77" s="285"/>
      <c r="P77" s="285"/>
      <c r="Q77" s="285"/>
      <c r="R77" s="286"/>
      <c r="S77" s="70" t="s">
        <v>245</v>
      </c>
      <c r="T77" s="71" t="s">
        <v>160</v>
      </c>
      <c r="U77" s="41" t="s">
        <v>20</v>
      </c>
      <c r="V77" s="100" t="s">
        <v>161</v>
      </c>
    </row>
    <row r="78" spans="1:22" ht="58">
      <c r="A78" s="61"/>
      <c r="B78" s="62"/>
      <c r="C78" s="62"/>
      <c r="D78" s="62"/>
      <c r="E78" s="62"/>
      <c r="F78" s="71"/>
      <c r="G78" s="284" t="s">
        <v>246</v>
      </c>
      <c r="H78" s="285"/>
      <c r="I78" s="285"/>
      <c r="J78" s="285"/>
      <c r="K78" s="285"/>
      <c r="L78" s="285"/>
      <c r="M78" s="285"/>
      <c r="N78" s="285"/>
      <c r="O78" s="285"/>
      <c r="P78" s="285"/>
      <c r="Q78" s="285"/>
      <c r="R78" s="286"/>
      <c r="S78" s="70" t="s">
        <v>247</v>
      </c>
      <c r="T78" s="71" t="s">
        <v>160</v>
      </c>
      <c r="U78" s="41"/>
      <c r="V78" s="100"/>
    </row>
    <row r="79" spans="1:22" ht="29">
      <c r="A79" s="61"/>
      <c r="B79" s="62"/>
      <c r="C79" s="62"/>
      <c r="D79" s="62"/>
      <c r="E79" s="62"/>
      <c r="F79" s="71"/>
      <c r="G79" s="435" t="s">
        <v>248</v>
      </c>
      <c r="H79" s="436"/>
      <c r="I79" s="436"/>
      <c r="J79" s="436"/>
      <c r="K79" s="436"/>
      <c r="L79" s="436"/>
      <c r="M79" s="436"/>
      <c r="N79" s="436"/>
      <c r="O79" s="436"/>
      <c r="P79" s="436"/>
      <c r="Q79" s="436"/>
      <c r="R79" s="437"/>
      <c r="S79" s="70" t="s">
        <v>249</v>
      </c>
      <c r="T79" s="71" t="s">
        <v>160</v>
      </c>
      <c r="U79" s="41"/>
      <c r="V79" s="100"/>
    </row>
    <row r="80" spans="1:22" ht="58">
      <c r="A80" s="61"/>
      <c r="B80" s="62"/>
      <c r="C80" s="62"/>
      <c r="D80" s="62"/>
      <c r="E80" s="62"/>
      <c r="F80" s="71"/>
      <c r="G80" s="284"/>
      <c r="H80" s="285"/>
      <c r="I80" s="285"/>
      <c r="J80" s="285"/>
      <c r="K80" s="285"/>
      <c r="L80" s="285"/>
      <c r="M80" s="285"/>
      <c r="N80" s="285"/>
      <c r="O80" s="285"/>
      <c r="P80" s="285"/>
      <c r="Q80" s="285"/>
      <c r="R80" s="286"/>
      <c r="S80" s="70" t="s">
        <v>250</v>
      </c>
      <c r="T80" s="71"/>
      <c r="U80" s="41"/>
      <c r="V80" s="100"/>
    </row>
    <row r="81" spans="1:22" ht="58">
      <c r="A81" s="61"/>
      <c r="B81" s="62"/>
      <c r="C81" s="62"/>
      <c r="D81" s="62"/>
      <c r="E81" s="62"/>
      <c r="F81" s="71"/>
      <c r="G81" s="393"/>
      <c r="H81" s="394"/>
      <c r="I81" s="394"/>
      <c r="J81" s="394"/>
      <c r="K81" s="394"/>
      <c r="L81" s="394"/>
      <c r="M81" s="394"/>
      <c r="N81" s="394"/>
      <c r="O81" s="394"/>
      <c r="P81" s="394"/>
      <c r="Q81" s="394"/>
      <c r="R81" s="395"/>
      <c r="S81" s="70" t="s">
        <v>251</v>
      </c>
      <c r="T81" s="71"/>
      <c r="U81" s="41"/>
      <c r="V81" s="100"/>
    </row>
    <row r="82" spans="1:22" ht="43.5">
      <c r="A82" s="61" t="b">
        <v>0</v>
      </c>
      <c r="B82" s="62" t="s">
        <v>38</v>
      </c>
      <c r="C82" s="62"/>
      <c r="D82" s="62" t="b">
        <v>1</v>
      </c>
      <c r="E82" s="62" t="b">
        <v>1</v>
      </c>
      <c r="F82" s="71"/>
      <c r="G82" s="393"/>
      <c r="H82" s="394"/>
      <c r="I82" s="394"/>
      <c r="J82" s="394"/>
      <c r="K82" s="394"/>
      <c r="L82" s="394"/>
      <c r="M82" s="394"/>
      <c r="N82" s="394"/>
      <c r="O82" s="394"/>
      <c r="P82" s="394"/>
      <c r="Q82" s="394"/>
      <c r="R82" s="395"/>
      <c r="S82" s="70" t="s">
        <v>252</v>
      </c>
      <c r="T82" s="71" t="s">
        <v>160</v>
      </c>
      <c r="U82" s="41" t="s">
        <v>20</v>
      </c>
      <c r="V82" s="100" t="s">
        <v>161</v>
      </c>
    </row>
    <row r="83" spans="1:22" ht="29">
      <c r="A83" s="52" t="s">
        <v>4</v>
      </c>
      <c r="B83" s="52" t="s">
        <v>5</v>
      </c>
      <c r="C83" s="52" t="s">
        <v>6</v>
      </c>
      <c r="D83" s="52" t="s">
        <v>113</v>
      </c>
      <c r="E83" s="52" t="s">
        <v>114</v>
      </c>
      <c r="F83" s="52" t="s">
        <v>9</v>
      </c>
      <c r="G83" s="396" t="s">
        <v>10</v>
      </c>
      <c r="H83" s="397"/>
      <c r="I83" s="397"/>
      <c r="J83" s="397"/>
      <c r="K83" s="397"/>
      <c r="L83" s="397"/>
      <c r="M83" s="397"/>
      <c r="N83" s="397"/>
      <c r="O83" s="397"/>
      <c r="P83" s="397"/>
      <c r="Q83" s="397"/>
      <c r="R83" s="398"/>
      <c r="S83" s="151"/>
      <c r="T83" s="52" t="s">
        <v>12</v>
      </c>
      <c r="U83" s="16" t="s">
        <v>13</v>
      </c>
      <c r="V83" s="16" t="s">
        <v>14</v>
      </c>
    </row>
    <row r="84" spans="1:22">
      <c r="A84" s="55"/>
      <c r="B84" s="56" t="s">
        <v>15</v>
      </c>
      <c r="C84" s="56"/>
      <c r="D84" s="56" t="b">
        <v>0</v>
      </c>
      <c r="E84" s="56" t="b">
        <v>1</v>
      </c>
      <c r="F84" s="56"/>
      <c r="G84" s="332" t="s">
        <v>253</v>
      </c>
      <c r="H84" s="333"/>
      <c r="I84" s="333"/>
      <c r="J84" s="333"/>
      <c r="K84" s="333"/>
      <c r="L84" s="333"/>
      <c r="M84" s="333"/>
      <c r="N84" s="333"/>
      <c r="O84" s="333"/>
      <c r="P84" s="333"/>
      <c r="Q84" s="333"/>
      <c r="R84" s="334"/>
      <c r="S84" s="72"/>
      <c r="T84" s="56"/>
      <c r="U84" s="57"/>
      <c r="V84" s="57"/>
    </row>
    <row r="85" spans="1:22">
      <c r="A85" s="58"/>
      <c r="B85" s="59" t="s">
        <v>17</v>
      </c>
      <c r="C85" s="59"/>
      <c r="D85" s="59" t="b">
        <v>0</v>
      </c>
      <c r="E85" s="59" t="b">
        <v>1</v>
      </c>
      <c r="F85" s="59" t="s">
        <v>18</v>
      </c>
      <c r="G85" s="347"/>
      <c r="H85" s="348"/>
      <c r="I85" s="348"/>
      <c r="J85" s="348"/>
      <c r="K85" s="348"/>
      <c r="L85" s="348"/>
      <c r="M85" s="348"/>
      <c r="N85" s="348"/>
      <c r="O85" s="348"/>
      <c r="P85" s="348"/>
      <c r="Q85" s="348"/>
      <c r="R85" s="349"/>
      <c r="S85" s="73"/>
      <c r="T85" s="59"/>
      <c r="U85" s="59"/>
      <c r="V85" s="60"/>
    </row>
    <row r="86" spans="1:22" hidden="1">
      <c r="A86" s="61" t="b">
        <v>1</v>
      </c>
      <c r="B86" s="62" t="s">
        <v>21</v>
      </c>
      <c r="C86" s="62"/>
      <c r="D86" s="62" t="b">
        <v>0</v>
      </c>
      <c r="E86" s="62" t="b">
        <v>1</v>
      </c>
      <c r="F86" s="71" t="s">
        <v>22</v>
      </c>
      <c r="G86" s="54" t="s">
        <v>57</v>
      </c>
      <c r="H86" s="54"/>
      <c r="I86" s="54"/>
      <c r="J86" s="54"/>
      <c r="K86" s="54"/>
      <c r="L86" s="54"/>
      <c r="M86" s="54"/>
      <c r="N86" s="54"/>
      <c r="O86" s="54"/>
      <c r="P86" s="54"/>
      <c r="Q86" s="54"/>
      <c r="R86" s="54"/>
      <c r="S86" s="70"/>
      <c r="T86" s="71"/>
      <c r="U86" s="54"/>
      <c r="V86" s="63"/>
    </row>
    <row r="87" spans="1:22" hidden="1">
      <c r="A87" s="61" t="b">
        <v>0</v>
      </c>
      <c r="B87" s="62" t="s">
        <v>24</v>
      </c>
      <c r="C87" s="62"/>
      <c r="D87" s="62" t="b">
        <v>0</v>
      </c>
      <c r="E87" s="62" t="b">
        <v>1</v>
      </c>
      <c r="F87" s="71" t="s">
        <v>25</v>
      </c>
      <c r="G87" s="54">
        <v>1</v>
      </c>
      <c r="H87" s="54"/>
      <c r="I87" s="54"/>
      <c r="J87" s="54"/>
      <c r="K87" s="54"/>
      <c r="L87" s="54"/>
      <c r="M87" s="54"/>
      <c r="N87" s="54"/>
      <c r="O87" s="54"/>
      <c r="P87" s="54"/>
      <c r="Q87" s="54"/>
      <c r="R87" s="54"/>
      <c r="S87" s="70"/>
      <c r="T87" s="71"/>
      <c r="U87" s="54"/>
      <c r="V87" s="63"/>
    </row>
    <row r="88" spans="1:22" hidden="1">
      <c r="A88" s="61" t="b">
        <v>0</v>
      </c>
      <c r="B88" s="62" t="s">
        <v>26</v>
      </c>
      <c r="C88" s="62"/>
      <c r="D88" s="62" t="b">
        <v>0</v>
      </c>
      <c r="E88" s="62" t="b">
        <v>1</v>
      </c>
      <c r="F88" s="71" t="s">
        <v>27</v>
      </c>
      <c r="G88" s="54"/>
      <c r="H88" s="54"/>
      <c r="I88" s="54"/>
      <c r="J88" s="54"/>
      <c r="K88" s="54"/>
      <c r="L88" s="54"/>
      <c r="M88" s="54"/>
      <c r="N88" s="54"/>
      <c r="O88" s="54"/>
      <c r="P88" s="54"/>
      <c r="Q88" s="54"/>
      <c r="R88" s="54"/>
      <c r="S88" s="70"/>
      <c r="T88" s="71"/>
      <c r="U88" s="54"/>
      <c r="V88" s="63"/>
    </row>
    <row r="89" spans="1:22" hidden="1">
      <c r="A89" s="61" t="b">
        <v>1</v>
      </c>
      <c r="B89" s="62" t="s">
        <v>28</v>
      </c>
      <c r="C89" s="62"/>
      <c r="D89" s="62" t="b">
        <v>0</v>
      </c>
      <c r="E89" s="62" t="b">
        <v>1</v>
      </c>
      <c r="F89" s="71" t="s">
        <v>29</v>
      </c>
      <c r="G89" s="54" t="s">
        <v>30</v>
      </c>
      <c r="H89" s="54"/>
      <c r="I89" s="54"/>
      <c r="J89" s="54"/>
      <c r="K89" s="54"/>
      <c r="L89" s="54"/>
      <c r="M89" s="54"/>
      <c r="N89" s="54"/>
      <c r="O89" s="54"/>
      <c r="P89" s="54"/>
      <c r="Q89" s="54"/>
      <c r="R89" s="54"/>
      <c r="S89" s="70"/>
      <c r="T89" s="71"/>
      <c r="U89" s="54"/>
      <c r="V89" s="63"/>
    </row>
    <row r="90" spans="1:22" ht="29">
      <c r="A90" s="61" t="b">
        <v>0</v>
      </c>
      <c r="B90" s="62" t="s">
        <v>118</v>
      </c>
      <c r="C90" s="62" t="s">
        <v>119</v>
      </c>
      <c r="D90" s="62" t="b">
        <v>0</v>
      </c>
      <c r="E90" s="62" t="b">
        <v>1</v>
      </c>
      <c r="F90" s="71" t="s">
        <v>47</v>
      </c>
      <c r="G90" s="405" t="s">
        <v>253</v>
      </c>
      <c r="H90" s="406"/>
      <c r="I90" s="406"/>
      <c r="J90" s="406"/>
      <c r="K90" s="406"/>
      <c r="L90" s="406"/>
      <c r="M90" s="406"/>
      <c r="N90" s="406"/>
      <c r="O90" s="406"/>
      <c r="P90" s="406"/>
      <c r="Q90" s="406"/>
      <c r="R90" s="407"/>
      <c r="S90" s="70"/>
      <c r="T90" s="71" t="s">
        <v>120</v>
      </c>
      <c r="U90" s="41" t="s">
        <v>127</v>
      </c>
      <c r="V90" s="63"/>
    </row>
    <row r="91" spans="1:22" hidden="1">
      <c r="A91" s="64"/>
      <c r="B91" s="65" t="s">
        <v>31</v>
      </c>
      <c r="C91" s="65"/>
      <c r="D91" s="65" t="b">
        <v>0</v>
      </c>
      <c r="E91" s="65" t="b">
        <v>1</v>
      </c>
      <c r="F91" s="65" t="s">
        <v>32</v>
      </c>
      <c r="G91" s="66"/>
      <c r="H91" s="66"/>
      <c r="I91" s="66"/>
      <c r="J91" s="66"/>
      <c r="K91" s="66"/>
      <c r="L91" s="66"/>
      <c r="M91" s="66"/>
      <c r="N91" s="66"/>
      <c r="O91" s="66"/>
      <c r="P91" s="66"/>
      <c r="Q91" s="66"/>
      <c r="R91" s="66"/>
      <c r="S91" s="152" t="s">
        <v>121</v>
      </c>
      <c r="T91" s="65"/>
      <c r="U91" s="66"/>
      <c r="V91" s="66"/>
    </row>
    <row r="92" spans="1:22">
      <c r="A92" s="61" t="b">
        <v>1</v>
      </c>
      <c r="B92" s="62" t="s">
        <v>254</v>
      </c>
      <c r="C92" s="62"/>
      <c r="D92" s="62" t="b">
        <v>1</v>
      </c>
      <c r="E92" s="62" t="b">
        <v>1</v>
      </c>
      <c r="F92" s="71" t="s">
        <v>253</v>
      </c>
      <c r="G92" s="314" t="s">
        <v>255</v>
      </c>
      <c r="H92" s="315"/>
      <c r="I92" s="315"/>
      <c r="J92" s="315"/>
      <c r="K92" s="315"/>
      <c r="L92" s="315"/>
      <c r="M92" s="315"/>
      <c r="N92" s="315"/>
      <c r="O92" s="315"/>
      <c r="P92" s="315"/>
      <c r="Q92" s="315"/>
      <c r="R92" s="316"/>
      <c r="S92" s="70" t="s">
        <v>255</v>
      </c>
      <c r="T92" s="71" t="s">
        <v>153</v>
      </c>
      <c r="U92" s="41" t="s">
        <v>127</v>
      </c>
      <c r="V92" s="63"/>
    </row>
    <row r="93" spans="1:22">
      <c r="A93" s="66"/>
      <c r="B93" s="65" t="s">
        <v>36</v>
      </c>
      <c r="C93" s="65"/>
      <c r="D93" s="65" t="b">
        <v>1</v>
      </c>
      <c r="E93" s="65" t="b">
        <v>1</v>
      </c>
      <c r="F93" s="65" t="s">
        <v>37</v>
      </c>
      <c r="G93" s="408"/>
      <c r="H93" s="409"/>
      <c r="I93" s="409"/>
      <c r="J93" s="409"/>
      <c r="K93" s="409"/>
      <c r="L93" s="409"/>
      <c r="M93" s="409"/>
      <c r="N93" s="409"/>
      <c r="O93" s="409"/>
      <c r="P93" s="409"/>
      <c r="Q93" s="409"/>
      <c r="R93" s="410"/>
      <c r="S93" s="152" t="s">
        <v>121</v>
      </c>
      <c r="T93" s="65"/>
      <c r="U93" s="65"/>
      <c r="V93" s="65"/>
    </row>
    <row r="94" spans="1:22" ht="29">
      <c r="A94" s="61"/>
      <c r="B94" s="62"/>
      <c r="C94" s="62"/>
      <c r="D94" s="62"/>
      <c r="E94" s="62"/>
      <c r="F94" s="71"/>
      <c r="G94" s="393"/>
      <c r="H94" s="394"/>
      <c r="I94" s="394"/>
      <c r="J94" s="394"/>
      <c r="K94" s="394"/>
      <c r="L94" s="394"/>
      <c r="M94" s="394"/>
      <c r="N94" s="394"/>
      <c r="O94" s="394"/>
      <c r="P94" s="394"/>
      <c r="Q94" s="394"/>
      <c r="R94" s="395"/>
      <c r="S94" s="70"/>
      <c r="T94" s="71" t="s">
        <v>160</v>
      </c>
      <c r="U94" s="41" t="s">
        <v>241</v>
      </c>
      <c r="V94" s="99" t="s">
        <v>161</v>
      </c>
    </row>
    <row r="95" spans="1:22" ht="29">
      <c r="A95" s="52" t="s">
        <v>4</v>
      </c>
      <c r="B95" s="52" t="s">
        <v>5</v>
      </c>
      <c r="C95" s="52" t="s">
        <v>6</v>
      </c>
      <c r="D95" s="52" t="s">
        <v>76</v>
      </c>
      <c r="E95" s="52" t="s">
        <v>77</v>
      </c>
      <c r="F95" s="52" t="s">
        <v>9</v>
      </c>
      <c r="G95" s="287" t="s">
        <v>10</v>
      </c>
      <c r="H95" s="288"/>
      <c r="I95" s="288"/>
      <c r="J95" s="288"/>
      <c r="K95" s="288"/>
      <c r="L95" s="288"/>
      <c r="M95" s="288"/>
      <c r="N95" s="288"/>
      <c r="O95" s="288"/>
      <c r="P95" s="288"/>
      <c r="Q95" s="288"/>
      <c r="R95" s="289"/>
      <c r="S95" s="151"/>
      <c r="T95" s="52" t="s">
        <v>12</v>
      </c>
      <c r="U95" s="16" t="s">
        <v>13</v>
      </c>
      <c r="V95" s="16" t="s">
        <v>14</v>
      </c>
    </row>
    <row r="96" spans="1:22">
      <c r="A96" s="55"/>
      <c r="B96" s="56" t="s">
        <v>15</v>
      </c>
      <c r="C96" s="56"/>
      <c r="D96" s="56" t="b">
        <v>0</v>
      </c>
      <c r="E96" s="56" t="b">
        <v>1</v>
      </c>
      <c r="F96" s="56"/>
      <c r="G96" s="290" t="s">
        <v>256</v>
      </c>
      <c r="H96" s="291"/>
      <c r="I96" s="291"/>
      <c r="J96" s="291"/>
      <c r="K96" s="291"/>
      <c r="L96" s="291"/>
      <c r="M96" s="291"/>
      <c r="N96" s="291"/>
      <c r="O96" s="291"/>
      <c r="P96" s="291"/>
      <c r="Q96" s="291"/>
      <c r="R96" s="292"/>
      <c r="S96" s="72"/>
      <c r="T96" s="56"/>
      <c r="U96" s="57"/>
      <c r="V96" s="57"/>
    </row>
    <row r="97" spans="1:22">
      <c r="A97" s="58"/>
      <c r="B97" s="59" t="s">
        <v>17</v>
      </c>
      <c r="C97" s="59"/>
      <c r="D97" s="59" t="b">
        <v>0</v>
      </c>
      <c r="E97" s="59" t="b">
        <v>1</v>
      </c>
      <c r="F97" s="59" t="s">
        <v>18</v>
      </c>
      <c r="G97" s="293"/>
      <c r="H97" s="294"/>
      <c r="I97" s="294"/>
      <c r="J97" s="294"/>
      <c r="K97" s="294"/>
      <c r="L97" s="294"/>
      <c r="M97" s="294"/>
      <c r="N97" s="294"/>
      <c r="O97" s="294"/>
      <c r="P97" s="294"/>
      <c r="Q97" s="294"/>
      <c r="R97" s="295"/>
      <c r="S97" s="73"/>
      <c r="T97" s="59"/>
      <c r="U97" s="59"/>
      <c r="V97" s="60"/>
    </row>
    <row r="98" spans="1:22" hidden="1">
      <c r="A98" s="61" t="b">
        <v>1</v>
      </c>
      <c r="B98" s="62" t="s">
        <v>21</v>
      </c>
      <c r="C98" s="62"/>
      <c r="D98" s="62" t="b">
        <v>0</v>
      </c>
      <c r="E98" s="62" t="b">
        <v>1</v>
      </c>
      <c r="F98" s="71" t="s">
        <v>22</v>
      </c>
      <c r="G98" s="54" t="s">
        <v>57</v>
      </c>
      <c r="H98" s="54"/>
      <c r="I98" s="54"/>
      <c r="J98" s="54"/>
      <c r="K98" s="54"/>
      <c r="L98" s="54"/>
      <c r="M98" s="54"/>
      <c r="N98" s="54"/>
      <c r="O98" s="54"/>
      <c r="P98" s="54"/>
      <c r="Q98" s="54"/>
      <c r="R98" s="54"/>
      <c r="S98" s="70"/>
      <c r="T98" s="71"/>
      <c r="U98" s="54"/>
      <c r="V98" s="63"/>
    </row>
    <row r="99" spans="1:22" hidden="1">
      <c r="A99" s="61" t="b">
        <v>0</v>
      </c>
      <c r="B99" s="62" t="s">
        <v>24</v>
      </c>
      <c r="C99" s="62"/>
      <c r="D99" s="62" t="b">
        <v>0</v>
      </c>
      <c r="E99" s="62" t="b">
        <v>1</v>
      </c>
      <c r="F99" s="71" t="s">
        <v>25</v>
      </c>
      <c r="G99" s="54">
        <v>1</v>
      </c>
      <c r="H99" s="54"/>
      <c r="I99" s="54"/>
      <c r="J99" s="54"/>
      <c r="K99" s="54"/>
      <c r="L99" s="54"/>
      <c r="M99" s="54"/>
      <c r="N99" s="54"/>
      <c r="O99" s="54"/>
      <c r="P99" s="54"/>
      <c r="Q99" s="54"/>
      <c r="R99" s="54"/>
      <c r="S99" s="70"/>
      <c r="T99" s="71"/>
      <c r="U99" s="54"/>
      <c r="V99" s="63"/>
    </row>
    <row r="100" spans="1:22" hidden="1">
      <c r="A100" s="61" t="b">
        <v>0</v>
      </c>
      <c r="B100" s="62" t="s">
        <v>26</v>
      </c>
      <c r="C100" s="62"/>
      <c r="D100" s="62" t="b">
        <v>0</v>
      </c>
      <c r="E100" s="62" t="b">
        <v>1</v>
      </c>
      <c r="F100" s="71" t="s">
        <v>27</v>
      </c>
      <c r="G100" s="54"/>
      <c r="H100" s="54"/>
      <c r="I100" s="54"/>
      <c r="J100" s="54"/>
      <c r="K100" s="54"/>
      <c r="L100" s="54"/>
      <c r="M100" s="54"/>
      <c r="N100" s="54"/>
      <c r="O100" s="54"/>
      <c r="P100" s="54"/>
      <c r="Q100" s="54"/>
      <c r="R100" s="54"/>
      <c r="S100" s="70"/>
      <c r="T100" s="71"/>
      <c r="U100" s="54"/>
      <c r="V100" s="63"/>
    </row>
    <row r="101" spans="1:22" hidden="1">
      <c r="A101" s="61" t="b">
        <v>1</v>
      </c>
      <c r="B101" s="62" t="s">
        <v>28</v>
      </c>
      <c r="C101" s="62"/>
      <c r="D101" s="62" t="b">
        <v>0</v>
      </c>
      <c r="E101" s="62" t="b">
        <v>1</v>
      </c>
      <c r="F101" s="71" t="s">
        <v>29</v>
      </c>
      <c r="G101" s="54" t="s">
        <v>30</v>
      </c>
      <c r="H101" s="54"/>
      <c r="I101" s="54"/>
      <c r="J101" s="54"/>
      <c r="K101" s="54"/>
      <c r="L101" s="54"/>
      <c r="M101" s="54"/>
      <c r="N101" s="54"/>
      <c r="O101" s="54"/>
      <c r="P101" s="54"/>
      <c r="Q101" s="54"/>
      <c r="R101" s="54"/>
      <c r="S101" s="70"/>
      <c r="T101" s="71"/>
      <c r="U101" s="54"/>
      <c r="V101" s="63"/>
    </row>
    <row r="102" spans="1:22" ht="29">
      <c r="A102" s="61" t="b">
        <v>0</v>
      </c>
      <c r="B102" s="62" t="s">
        <v>118</v>
      </c>
      <c r="C102" s="62" t="s">
        <v>119</v>
      </c>
      <c r="D102" s="62" t="b">
        <v>0</v>
      </c>
      <c r="E102" s="62" t="b">
        <v>1</v>
      </c>
      <c r="F102" s="71" t="s">
        <v>47</v>
      </c>
      <c r="G102" s="366"/>
      <c r="H102" s="367"/>
      <c r="I102" s="367"/>
      <c r="J102" s="367"/>
      <c r="K102" s="367"/>
      <c r="L102" s="367"/>
      <c r="M102" s="367"/>
      <c r="N102" s="367"/>
      <c r="O102" s="367"/>
      <c r="P102" s="367"/>
      <c r="Q102" s="367"/>
      <c r="R102" s="374"/>
      <c r="S102" s="70"/>
      <c r="T102" s="71" t="s">
        <v>120</v>
      </c>
      <c r="U102" s="41" t="s">
        <v>20</v>
      </c>
      <c r="V102" s="63"/>
    </row>
    <row r="103" spans="1:22" hidden="1">
      <c r="A103" s="64"/>
      <c r="B103" s="65" t="s">
        <v>31</v>
      </c>
      <c r="C103" s="65"/>
      <c r="D103" s="65" t="b">
        <v>0</v>
      </c>
      <c r="E103" s="65" t="b">
        <v>1</v>
      </c>
      <c r="F103" s="65" t="s">
        <v>32</v>
      </c>
      <c r="G103" s="66"/>
      <c r="H103" s="66"/>
      <c r="I103" s="66"/>
      <c r="J103" s="66"/>
      <c r="K103" s="66"/>
      <c r="L103" s="66"/>
      <c r="M103" s="66"/>
      <c r="N103" s="66"/>
      <c r="O103" s="66"/>
      <c r="P103" s="66"/>
      <c r="Q103" s="66"/>
      <c r="R103" s="66"/>
      <c r="S103" s="152" t="s">
        <v>121</v>
      </c>
      <c r="T103" s="65"/>
      <c r="U103" s="66"/>
      <c r="V103" s="66"/>
    </row>
    <row r="104" spans="1:22">
      <c r="A104" s="61" t="b">
        <v>0</v>
      </c>
      <c r="B104" s="62" t="s">
        <v>257</v>
      </c>
      <c r="C104" s="62"/>
      <c r="D104" s="62" t="b">
        <v>1</v>
      </c>
      <c r="E104" s="62" t="b">
        <v>1</v>
      </c>
      <c r="F104" s="71" t="s">
        <v>34</v>
      </c>
      <c r="G104" s="350" t="s">
        <v>258</v>
      </c>
      <c r="H104" s="351"/>
      <c r="I104" s="351"/>
      <c r="J104" s="351"/>
      <c r="K104" s="351"/>
      <c r="L104" s="351"/>
      <c r="M104" s="351"/>
      <c r="N104" s="351"/>
      <c r="O104" s="351"/>
      <c r="P104" s="351"/>
      <c r="Q104" s="351"/>
      <c r="R104" s="352"/>
      <c r="S104" s="160"/>
      <c r="T104" s="71" t="s">
        <v>153</v>
      </c>
      <c r="U104" s="41" t="s">
        <v>20</v>
      </c>
      <c r="V104" s="63"/>
    </row>
    <row r="105" spans="1:22" ht="29">
      <c r="A105" s="61" t="b">
        <v>1</v>
      </c>
      <c r="B105" s="62" t="s">
        <v>259</v>
      </c>
      <c r="C105" s="62"/>
      <c r="D105" s="62" t="b">
        <v>1</v>
      </c>
      <c r="E105" s="62" t="b">
        <v>1</v>
      </c>
      <c r="F105" s="71" t="s">
        <v>260</v>
      </c>
      <c r="G105" s="314" t="s">
        <v>261</v>
      </c>
      <c r="H105" s="315"/>
      <c r="I105" s="315"/>
      <c r="J105" s="315"/>
      <c r="K105" s="315"/>
      <c r="L105" s="315"/>
      <c r="M105" s="315"/>
      <c r="N105" s="315"/>
      <c r="O105" s="315"/>
      <c r="P105" s="315"/>
      <c r="Q105" s="315"/>
      <c r="R105" s="316"/>
      <c r="S105" s="70" t="s">
        <v>262</v>
      </c>
      <c r="T105" s="71" t="s">
        <v>153</v>
      </c>
      <c r="U105" s="41" t="s">
        <v>127</v>
      </c>
      <c r="V105" s="63"/>
    </row>
    <row r="106" spans="1:22" ht="29">
      <c r="A106" s="61" t="b">
        <v>1</v>
      </c>
      <c r="B106" s="62" t="s">
        <v>259</v>
      </c>
      <c r="C106" s="62"/>
      <c r="D106" s="62" t="b">
        <v>1</v>
      </c>
      <c r="E106" s="62" t="b">
        <v>1</v>
      </c>
      <c r="F106" s="71" t="s">
        <v>263</v>
      </c>
      <c r="G106" s="314"/>
      <c r="H106" s="315"/>
      <c r="I106" s="315"/>
      <c r="J106" s="315"/>
      <c r="K106" s="315"/>
      <c r="L106" s="315"/>
      <c r="M106" s="315"/>
      <c r="N106" s="315"/>
      <c r="O106" s="315"/>
      <c r="P106" s="315"/>
      <c r="Q106" s="315"/>
      <c r="R106" s="316"/>
      <c r="S106" s="70" t="s">
        <v>264</v>
      </c>
      <c r="T106" s="71" t="s">
        <v>153</v>
      </c>
      <c r="U106" s="41" t="s">
        <v>20</v>
      </c>
      <c r="V106" s="63"/>
    </row>
    <row r="107" spans="1:22" ht="29">
      <c r="A107" s="61" t="b">
        <v>1</v>
      </c>
      <c r="B107" s="62" t="s">
        <v>259</v>
      </c>
      <c r="C107" s="62"/>
      <c r="D107" s="62" t="b">
        <v>1</v>
      </c>
      <c r="E107" s="62" t="b">
        <v>1</v>
      </c>
      <c r="F107" s="71" t="s">
        <v>265</v>
      </c>
      <c r="G107" s="314"/>
      <c r="H107" s="315"/>
      <c r="I107" s="315"/>
      <c r="J107" s="315"/>
      <c r="K107" s="315"/>
      <c r="L107" s="315"/>
      <c r="M107" s="315"/>
      <c r="N107" s="315"/>
      <c r="O107" s="315"/>
      <c r="P107" s="315"/>
      <c r="Q107" s="315"/>
      <c r="R107" s="316"/>
      <c r="S107" s="70" t="s">
        <v>266</v>
      </c>
      <c r="T107" s="71" t="s">
        <v>153</v>
      </c>
      <c r="U107" s="41" t="s">
        <v>20</v>
      </c>
      <c r="V107" s="63"/>
    </row>
    <row r="108" spans="1:22" ht="29">
      <c r="A108" s="61" t="b">
        <v>1</v>
      </c>
      <c r="B108" s="62" t="s">
        <v>259</v>
      </c>
      <c r="C108" s="62"/>
      <c r="D108" s="62" t="b">
        <v>1</v>
      </c>
      <c r="E108" s="62" t="b">
        <v>1</v>
      </c>
      <c r="F108" s="71" t="s">
        <v>267</v>
      </c>
      <c r="G108" s="314"/>
      <c r="H108" s="315"/>
      <c r="I108" s="315"/>
      <c r="J108" s="315"/>
      <c r="K108" s="315"/>
      <c r="L108" s="315"/>
      <c r="M108" s="315"/>
      <c r="N108" s="315"/>
      <c r="O108" s="315"/>
      <c r="P108" s="315"/>
      <c r="Q108" s="315"/>
      <c r="R108" s="316"/>
      <c r="S108" s="70" t="s">
        <v>268</v>
      </c>
      <c r="T108" s="71" t="s">
        <v>153</v>
      </c>
      <c r="U108" s="41" t="s">
        <v>20</v>
      </c>
      <c r="V108" s="63"/>
    </row>
    <row r="109" spans="1:22" ht="29">
      <c r="A109" s="61" t="b">
        <v>1</v>
      </c>
      <c r="B109" s="62" t="s">
        <v>259</v>
      </c>
      <c r="C109" s="62"/>
      <c r="D109" s="62" t="b">
        <v>1</v>
      </c>
      <c r="E109" s="62" t="b">
        <v>1</v>
      </c>
      <c r="F109" s="71" t="s">
        <v>269</v>
      </c>
      <c r="G109" s="402"/>
      <c r="H109" s="403"/>
      <c r="I109" s="403"/>
      <c r="J109" s="403"/>
      <c r="K109" s="403"/>
      <c r="L109" s="403"/>
      <c r="M109" s="403"/>
      <c r="N109" s="403"/>
      <c r="O109" s="403"/>
      <c r="P109" s="403"/>
      <c r="Q109" s="403"/>
      <c r="R109" s="404"/>
      <c r="S109" s="154" t="s">
        <v>270</v>
      </c>
      <c r="T109" s="71" t="s">
        <v>153</v>
      </c>
      <c r="U109" s="41" t="s">
        <v>20</v>
      </c>
      <c r="V109" s="63"/>
    </row>
    <row r="110" spans="1:22">
      <c r="A110" s="61" t="b">
        <v>1</v>
      </c>
      <c r="B110" s="62" t="s">
        <v>271</v>
      </c>
      <c r="C110" s="62"/>
      <c r="D110" s="62" t="b">
        <v>1</v>
      </c>
      <c r="E110" s="62" t="b">
        <v>1</v>
      </c>
      <c r="F110" s="71" t="s">
        <v>34</v>
      </c>
      <c r="G110" s="323" t="s">
        <v>272</v>
      </c>
      <c r="H110" s="324"/>
      <c r="I110" s="324"/>
      <c r="J110" s="324"/>
      <c r="K110" s="324"/>
      <c r="L110" s="324"/>
      <c r="M110" s="324"/>
      <c r="N110" s="324"/>
      <c r="O110" s="324"/>
      <c r="P110" s="324"/>
      <c r="Q110" s="324"/>
      <c r="R110" s="325"/>
      <c r="S110" s="70"/>
      <c r="T110" s="71" t="s">
        <v>153</v>
      </c>
      <c r="U110" s="41" t="s">
        <v>20</v>
      </c>
      <c r="V110" s="63"/>
    </row>
    <row r="111" spans="1:22" ht="29">
      <c r="A111" s="61" t="b">
        <v>1</v>
      </c>
      <c r="B111" s="62" t="s">
        <v>273</v>
      </c>
      <c r="C111" s="62"/>
      <c r="D111" s="62" t="b">
        <v>1</v>
      </c>
      <c r="E111" s="62" t="b">
        <v>1</v>
      </c>
      <c r="F111" s="71" t="s">
        <v>274</v>
      </c>
      <c r="G111" s="314"/>
      <c r="H111" s="315"/>
      <c r="I111" s="315"/>
      <c r="J111" s="315"/>
      <c r="K111" s="315"/>
      <c r="L111" s="315"/>
      <c r="M111" s="315"/>
      <c r="N111" s="315"/>
      <c r="O111" s="315"/>
      <c r="P111" s="315"/>
      <c r="Q111" s="315"/>
      <c r="R111" s="316"/>
      <c r="S111" s="70" t="s">
        <v>275</v>
      </c>
      <c r="T111" s="71" t="s">
        <v>153</v>
      </c>
      <c r="U111" s="41" t="s">
        <v>20</v>
      </c>
      <c r="V111" s="63"/>
    </row>
    <row r="112" spans="1:22" ht="29">
      <c r="A112" s="61" t="b">
        <v>1</v>
      </c>
      <c r="B112" s="62" t="s">
        <v>273</v>
      </c>
      <c r="C112" s="62"/>
      <c r="D112" s="62" t="b">
        <v>0</v>
      </c>
      <c r="E112" s="62" t="b">
        <v>1</v>
      </c>
      <c r="F112" s="71" t="s">
        <v>276</v>
      </c>
      <c r="G112" s="329"/>
      <c r="H112" s="330"/>
      <c r="I112" s="330"/>
      <c r="J112" s="330"/>
      <c r="K112" s="330"/>
      <c r="L112" s="330"/>
      <c r="M112" s="330"/>
      <c r="N112" s="330"/>
      <c r="O112" s="330"/>
      <c r="P112" s="330"/>
      <c r="Q112" s="330"/>
      <c r="R112" s="331"/>
      <c r="S112" s="70" t="s">
        <v>277</v>
      </c>
      <c r="T112" s="71" t="s">
        <v>153</v>
      </c>
      <c r="U112" s="41" t="s">
        <v>20</v>
      </c>
      <c r="V112" s="63"/>
    </row>
    <row r="113" spans="1:22">
      <c r="A113" s="61" t="b">
        <v>1</v>
      </c>
      <c r="B113" s="62" t="s">
        <v>35</v>
      </c>
      <c r="C113" s="62"/>
      <c r="D113" s="62" t="b">
        <v>0</v>
      </c>
      <c r="E113" s="62" t="b">
        <v>1</v>
      </c>
      <c r="F113" s="71" t="s">
        <v>34</v>
      </c>
      <c r="G113" s="399" t="s">
        <v>278</v>
      </c>
      <c r="H113" s="400"/>
      <c r="I113" s="400"/>
      <c r="J113" s="400"/>
      <c r="K113" s="400"/>
      <c r="L113" s="400"/>
      <c r="M113" s="400"/>
      <c r="N113" s="400"/>
      <c r="O113" s="400"/>
      <c r="P113" s="400"/>
      <c r="Q113" s="400"/>
      <c r="R113" s="401"/>
      <c r="S113" s="70"/>
      <c r="T113" s="71" t="s">
        <v>153</v>
      </c>
      <c r="U113" s="41" t="s">
        <v>20</v>
      </c>
      <c r="V113" s="63"/>
    </row>
    <row r="114" spans="1:22" ht="29">
      <c r="A114" s="61" t="b">
        <v>0</v>
      </c>
      <c r="B114" s="62" t="s">
        <v>33</v>
      </c>
      <c r="C114" s="62"/>
      <c r="D114" s="62" t="b">
        <v>0</v>
      </c>
      <c r="E114" s="62" t="b">
        <v>1</v>
      </c>
      <c r="F114" s="71" t="s">
        <v>279</v>
      </c>
      <c r="G114" s="314" t="s">
        <v>280</v>
      </c>
      <c r="H114" s="315"/>
      <c r="I114" s="315"/>
      <c r="J114" s="315"/>
      <c r="K114" s="315"/>
      <c r="L114" s="315"/>
      <c r="M114" s="315"/>
      <c r="N114" s="315"/>
      <c r="O114" s="315"/>
      <c r="P114" s="315"/>
      <c r="Q114" s="315"/>
      <c r="R114" s="316"/>
      <c r="S114" s="70" t="s">
        <v>281</v>
      </c>
      <c r="T114" s="71" t="s">
        <v>153</v>
      </c>
      <c r="U114" s="41" t="s">
        <v>127</v>
      </c>
      <c r="V114" s="63"/>
    </row>
    <row r="115" spans="1:22" ht="29">
      <c r="A115" s="61" t="b">
        <v>0</v>
      </c>
      <c r="B115" s="62" t="s">
        <v>35</v>
      </c>
      <c r="C115" s="62"/>
      <c r="D115" s="62" t="b">
        <v>0</v>
      </c>
      <c r="E115" s="62" t="b">
        <v>1</v>
      </c>
      <c r="F115" s="71" t="s">
        <v>282</v>
      </c>
      <c r="G115" s="317"/>
      <c r="H115" s="318"/>
      <c r="I115" s="318"/>
      <c r="J115" s="318"/>
      <c r="K115" s="318"/>
      <c r="L115" s="318"/>
      <c r="M115" s="318"/>
      <c r="N115" s="318"/>
      <c r="O115" s="318"/>
      <c r="P115" s="318"/>
      <c r="Q115" s="318"/>
      <c r="R115" s="319"/>
      <c r="S115" s="70" t="s">
        <v>283</v>
      </c>
      <c r="T115" s="71" t="s">
        <v>153</v>
      </c>
      <c r="U115" s="41" t="s">
        <v>20</v>
      </c>
      <c r="V115" s="63"/>
    </row>
    <row r="116" spans="1:22" ht="29">
      <c r="A116" s="61" t="b">
        <v>0</v>
      </c>
      <c r="B116" s="62" t="s">
        <v>35</v>
      </c>
      <c r="C116" s="62"/>
      <c r="D116" s="62" t="b">
        <v>0</v>
      </c>
      <c r="E116" s="62" t="b">
        <v>1</v>
      </c>
      <c r="F116" s="71" t="s">
        <v>284</v>
      </c>
      <c r="G116" s="329"/>
      <c r="H116" s="330"/>
      <c r="I116" s="330"/>
      <c r="J116" s="330"/>
      <c r="K116" s="330"/>
      <c r="L116" s="330"/>
      <c r="M116" s="330"/>
      <c r="N116" s="330"/>
      <c r="O116" s="330"/>
      <c r="P116" s="330"/>
      <c r="Q116" s="330"/>
      <c r="R116" s="331"/>
      <c r="S116" s="70"/>
      <c r="T116" s="71" t="s">
        <v>153</v>
      </c>
      <c r="U116" s="41" t="s">
        <v>20</v>
      </c>
      <c r="V116" s="63"/>
    </row>
    <row r="117" spans="1:22" ht="29">
      <c r="A117" s="61" t="b">
        <v>0</v>
      </c>
      <c r="B117" s="62" t="s">
        <v>35</v>
      </c>
      <c r="C117" s="62"/>
      <c r="D117" s="62" t="b">
        <v>0</v>
      </c>
      <c r="E117" s="62" t="b">
        <v>1</v>
      </c>
      <c r="F117" s="71" t="s">
        <v>285</v>
      </c>
      <c r="G117" s="314"/>
      <c r="H117" s="315"/>
      <c r="I117" s="315"/>
      <c r="J117" s="315"/>
      <c r="K117" s="315"/>
      <c r="L117" s="315"/>
      <c r="M117" s="315"/>
      <c r="N117" s="315"/>
      <c r="O117" s="315"/>
      <c r="P117" s="315"/>
      <c r="Q117" s="315"/>
      <c r="R117" s="316"/>
      <c r="S117" s="70"/>
      <c r="T117" s="71" t="s">
        <v>153</v>
      </c>
      <c r="U117" s="41" t="s">
        <v>20</v>
      </c>
      <c r="V117" s="63"/>
    </row>
    <row r="118" spans="1:22">
      <c r="A118" s="64"/>
      <c r="B118" s="65" t="s">
        <v>36</v>
      </c>
      <c r="C118" s="65"/>
      <c r="D118" s="65" t="b">
        <v>0</v>
      </c>
      <c r="E118" s="65" t="b">
        <v>1</v>
      </c>
      <c r="F118" s="65" t="s">
        <v>37</v>
      </c>
      <c r="G118" s="299"/>
      <c r="H118" s="300"/>
      <c r="I118" s="300"/>
      <c r="J118" s="300"/>
      <c r="K118" s="300"/>
      <c r="L118" s="300"/>
      <c r="M118" s="300"/>
      <c r="N118" s="300"/>
      <c r="O118" s="300"/>
      <c r="P118" s="300"/>
      <c r="Q118" s="300"/>
      <c r="R118" s="301"/>
      <c r="S118" s="152" t="s">
        <v>121</v>
      </c>
      <c r="T118" s="65"/>
      <c r="U118" s="66"/>
      <c r="V118" s="66"/>
    </row>
    <row r="119" spans="1:22" ht="29">
      <c r="A119" s="61" t="b">
        <v>0</v>
      </c>
      <c r="B119" s="62" t="s">
        <v>38</v>
      </c>
      <c r="C119" s="62"/>
      <c r="D119" s="62" t="b">
        <v>1</v>
      </c>
      <c r="E119" s="62" t="b">
        <v>1</v>
      </c>
      <c r="F119" s="71"/>
      <c r="G119" s="284" t="s">
        <v>286</v>
      </c>
      <c r="H119" s="285"/>
      <c r="I119" s="285"/>
      <c r="J119" s="285"/>
      <c r="K119" s="285"/>
      <c r="L119" s="285"/>
      <c r="M119" s="285"/>
      <c r="N119" s="285"/>
      <c r="O119" s="285"/>
      <c r="P119" s="285"/>
      <c r="Q119" s="285"/>
      <c r="R119" s="286"/>
      <c r="S119" s="70" t="s">
        <v>287</v>
      </c>
      <c r="T119" s="71" t="s">
        <v>160</v>
      </c>
      <c r="U119" s="41" t="s">
        <v>20</v>
      </c>
      <c r="V119" s="99" t="s">
        <v>161</v>
      </c>
    </row>
    <row r="120" spans="1:22" ht="72.5">
      <c r="A120" s="61" t="b">
        <v>0</v>
      </c>
      <c r="B120" s="62" t="s">
        <v>38</v>
      </c>
      <c r="C120" s="62"/>
      <c r="D120" s="62" t="b">
        <v>1</v>
      </c>
      <c r="E120" s="62" t="b">
        <v>1</v>
      </c>
      <c r="F120" s="71"/>
      <c r="G120" s="284"/>
      <c r="H120" s="285"/>
      <c r="I120" s="285"/>
      <c r="J120" s="285"/>
      <c r="K120" s="285"/>
      <c r="L120" s="285"/>
      <c r="M120" s="285"/>
      <c r="N120" s="285"/>
      <c r="O120" s="285"/>
      <c r="P120" s="285"/>
      <c r="Q120" s="285"/>
      <c r="R120" s="286"/>
      <c r="S120" s="70" t="s">
        <v>288</v>
      </c>
      <c r="T120" s="71" t="s">
        <v>160</v>
      </c>
      <c r="U120" s="41" t="s">
        <v>20</v>
      </c>
      <c r="V120" s="63"/>
    </row>
    <row r="121" spans="1:22" ht="72.5">
      <c r="A121" s="61" t="b">
        <v>0</v>
      </c>
      <c r="B121" s="62" t="s">
        <v>38</v>
      </c>
      <c r="C121" s="62"/>
      <c r="D121" s="62" t="b">
        <v>1</v>
      </c>
      <c r="E121" s="62" t="b">
        <v>1</v>
      </c>
      <c r="F121" s="71"/>
      <c r="G121" s="284"/>
      <c r="H121" s="285"/>
      <c r="I121" s="285"/>
      <c r="J121" s="285"/>
      <c r="K121" s="285"/>
      <c r="L121" s="285"/>
      <c r="M121" s="285"/>
      <c r="N121" s="285"/>
      <c r="O121" s="285"/>
      <c r="P121" s="285"/>
      <c r="Q121" s="285"/>
      <c r="R121" s="286"/>
      <c r="S121" s="70" t="s">
        <v>289</v>
      </c>
      <c r="T121" s="71" t="s">
        <v>160</v>
      </c>
      <c r="U121" s="41" t="s">
        <v>20</v>
      </c>
      <c r="V121" s="63"/>
    </row>
    <row r="122" spans="1:22" ht="43.5">
      <c r="A122" s="61"/>
      <c r="B122" s="62"/>
      <c r="C122" s="62"/>
      <c r="D122" s="62"/>
      <c r="E122" s="62"/>
      <c r="F122" s="71"/>
      <c r="G122" s="284"/>
      <c r="H122" s="285"/>
      <c r="I122" s="285"/>
      <c r="J122" s="285"/>
      <c r="K122" s="285"/>
      <c r="L122" s="285"/>
      <c r="M122" s="285"/>
      <c r="N122" s="285"/>
      <c r="O122" s="285"/>
      <c r="P122" s="285"/>
      <c r="Q122" s="285"/>
      <c r="R122" s="286"/>
      <c r="S122" s="70" t="s">
        <v>290</v>
      </c>
      <c r="T122" s="71"/>
      <c r="U122" s="41"/>
      <c r="V122" s="63"/>
    </row>
    <row r="123" spans="1:22" ht="29">
      <c r="A123" s="52" t="s">
        <v>4</v>
      </c>
      <c r="B123" s="52" t="s">
        <v>5</v>
      </c>
      <c r="C123" s="52" t="s">
        <v>6</v>
      </c>
      <c r="D123" s="52" t="s">
        <v>113</v>
      </c>
      <c r="E123" s="52" t="s">
        <v>114</v>
      </c>
      <c r="F123" s="52" t="s">
        <v>9</v>
      </c>
      <c r="G123" s="344" t="s">
        <v>10</v>
      </c>
      <c r="H123" s="345"/>
      <c r="I123" s="345"/>
      <c r="J123" s="345"/>
      <c r="K123" s="345"/>
      <c r="L123" s="345"/>
      <c r="M123" s="345"/>
      <c r="N123" s="345"/>
      <c r="O123" s="345"/>
      <c r="P123" s="345"/>
      <c r="Q123" s="345"/>
      <c r="R123" s="346"/>
      <c r="S123" s="151"/>
      <c r="T123" s="52" t="s">
        <v>12</v>
      </c>
      <c r="U123" s="16" t="s">
        <v>13</v>
      </c>
      <c r="V123" s="16" t="s">
        <v>14</v>
      </c>
    </row>
    <row r="124" spans="1:22">
      <c r="A124" s="55"/>
      <c r="B124" s="56" t="s">
        <v>15</v>
      </c>
      <c r="C124" s="56"/>
      <c r="D124" s="56" t="b">
        <v>0</v>
      </c>
      <c r="E124" s="56" t="b">
        <v>1</v>
      </c>
      <c r="F124" s="56"/>
      <c r="G124" s="290" t="s">
        <v>291</v>
      </c>
      <c r="H124" s="291"/>
      <c r="I124" s="291"/>
      <c r="J124" s="291"/>
      <c r="K124" s="291"/>
      <c r="L124" s="291"/>
      <c r="M124" s="291"/>
      <c r="N124" s="291"/>
      <c r="O124" s="291"/>
      <c r="P124" s="291"/>
      <c r="Q124" s="291"/>
      <c r="R124" s="292"/>
      <c r="S124" s="72"/>
      <c r="T124" s="56"/>
      <c r="U124" s="57"/>
      <c r="V124" s="57"/>
    </row>
    <row r="125" spans="1:22">
      <c r="A125" s="59"/>
      <c r="B125" s="59" t="s">
        <v>17</v>
      </c>
      <c r="C125" s="59"/>
      <c r="D125" s="59" t="b">
        <v>0</v>
      </c>
      <c r="E125" s="59" t="b">
        <v>1</v>
      </c>
      <c r="F125" s="59" t="s">
        <v>18</v>
      </c>
      <c r="G125" s="293" t="s">
        <v>292</v>
      </c>
      <c r="H125" s="294"/>
      <c r="I125" s="294"/>
      <c r="J125" s="294"/>
      <c r="K125" s="294"/>
      <c r="L125" s="294"/>
      <c r="M125" s="294"/>
      <c r="N125" s="294"/>
      <c r="O125" s="294"/>
      <c r="P125" s="294"/>
      <c r="Q125" s="294"/>
      <c r="R125" s="295"/>
      <c r="S125" s="73"/>
      <c r="T125" s="59"/>
      <c r="U125" s="59"/>
      <c r="V125" s="60"/>
    </row>
    <row r="126" spans="1:22" hidden="1">
      <c r="A126" s="61" t="b">
        <v>1</v>
      </c>
      <c r="B126" s="62" t="s">
        <v>21</v>
      </c>
      <c r="C126" s="62"/>
      <c r="D126" s="62" t="b">
        <v>0</v>
      </c>
      <c r="E126" s="62" t="b">
        <v>1</v>
      </c>
      <c r="F126" s="71" t="s">
        <v>22</v>
      </c>
      <c r="G126" s="54" t="s">
        <v>57</v>
      </c>
      <c r="H126" s="54"/>
      <c r="I126" s="54"/>
      <c r="J126" s="54"/>
      <c r="K126" s="54"/>
      <c r="L126" s="54"/>
      <c r="M126" s="54"/>
      <c r="N126" s="54"/>
      <c r="O126" s="54"/>
      <c r="P126" s="54"/>
      <c r="Q126" s="54"/>
      <c r="R126" s="54"/>
      <c r="S126" s="70"/>
      <c r="T126" s="71"/>
      <c r="U126" s="54"/>
      <c r="V126" s="63"/>
    </row>
    <row r="127" spans="1:22" hidden="1">
      <c r="A127" s="61" t="b">
        <v>0</v>
      </c>
      <c r="B127" s="62" t="s">
        <v>24</v>
      </c>
      <c r="C127" s="62"/>
      <c r="D127" s="62" t="b">
        <v>0</v>
      </c>
      <c r="E127" s="62" t="b">
        <v>1</v>
      </c>
      <c r="F127" s="71" t="s">
        <v>25</v>
      </c>
      <c r="G127" s="54">
        <v>1</v>
      </c>
      <c r="H127" s="54"/>
      <c r="I127" s="54"/>
      <c r="J127" s="54"/>
      <c r="K127" s="54"/>
      <c r="L127" s="54"/>
      <c r="M127" s="54"/>
      <c r="N127" s="54"/>
      <c r="O127" s="54"/>
      <c r="P127" s="54"/>
      <c r="Q127" s="54"/>
      <c r="R127" s="54"/>
      <c r="S127" s="70"/>
      <c r="T127" s="71"/>
      <c r="U127" s="54"/>
      <c r="V127" s="63"/>
    </row>
    <row r="128" spans="1:22" hidden="1">
      <c r="A128" s="61" t="b">
        <v>0</v>
      </c>
      <c r="B128" s="62" t="s">
        <v>26</v>
      </c>
      <c r="C128" s="62"/>
      <c r="D128" s="62" t="b">
        <v>0</v>
      </c>
      <c r="E128" s="62" t="b">
        <v>1</v>
      </c>
      <c r="F128" s="71" t="s">
        <v>27</v>
      </c>
      <c r="G128" s="54"/>
      <c r="H128" s="54"/>
      <c r="I128" s="54"/>
      <c r="J128" s="54"/>
      <c r="K128" s="54"/>
      <c r="L128" s="54"/>
      <c r="M128" s="54"/>
      <c r="N128" s="54"/>
      <c r="O128" s="54"/>
      <c r="P128" s="54"/>
      <c r="Q128" s="54"/>
      <c r="R128" s="54"/>
      <c r="S128" s="70"/>
      <c r="T128" s="71"/>
      <c r="U128" s="54"/>
      <c r="V128" s="63"/>
    </row>
    <row r="129" spans="1:22" hidden="1">
      <c r="A129" s="61" t="b">
        <v>1</v>
      </c>
      <c r="B129" s="62" t="s">
        <v>28</v>
      </c>
      <c r="C129" s="62"/>
      <c r="D129" s="62" t="b">
        <v>0</v>
      </c>
      <c r="E129" s="62" t="b">
        <v>1</v>
      </c>
      <c r="F129" s="71" t="s">
        <v>29</v>
      </c>
      <c r="G129" s="54" t="s">
        <v>30</v>
      </c>
      <c r="H129" s="54"/>
      <c r="I129" s="54"/>
      <c r="J129" s="54"/>
      <c r="K129" s="54"/>
      <c r="L129" s="54"/>
      <c r="M129" s="54"/>
      <c r="N129" s="54"/>
      <c r="O129" s="54"/>
      <c r="P129" s="54"/>
      <c r="Q129" s="54"/>
      <c r="R129" s="54"/>
      <c r="S129" s="70"/>
      <c r="T129" s="71"/>
      <c r="U129" s="54"/>
      <c r="V129" s="63"/>
    </row>
    <row r="130" spans="1:22" ht="29">
      <c r="A130" s="61" t="b">
        <v>0</v>
      </c>
      <c r="B130" s="62" t="s">
        <v>118</v>
      </c>
      <c r="C130" s="62" t="s">
        <v>119</v>
      </c>
      <c r="D130" s="62" t="b">
        <v>0</v>
      </c>
      <c r="E130" s="62" t="b">
        <v>1</v>
      </c>
      <c r="F130" s="71" t="s">
        <v>47</v>
      </c>
      <c r="G130" s="366"/>
      <c r="H130" s="367"/>
      <c r="I130" s="367"/>
      <c r="J130" s="367"/>
      <c r="K130" s="367"/>
      <c r="L130" s="367"/>
      <c r="M130" s="367"/>
      <c r="N130" s="367"/>
      <c r="O130" s="367"/>
      <c r="P130" s="367"/>
      <c r="Q130" s="367"/>
      <c r="R130" s="374"/>
      <c r="S130" s="70"/>
      <c r="T130" s="71" t="s">
        <v>120</v>
      </c>
      <c r="U130" s="41" t="s">
        <v>127</v>
      </c>
      <c r="V130" s="63"/>
    </row>
    <row r="131" spans="1:22" hidden="1">
      <c r="A131" s="64"/>
      <c r="B131" s="65" t="s">
        <v>31</v>
      </c>
      <c r="C131" s="65"/>
      <c r="D131" s="65" t="b">
        <v>0</v>
      </c>
      <c r="E131" s="65" t="b">
        <v>1</v>
      </c>
      <c r="F131" s="65" t="s">
        <v>32</v>
      </c>
      <c r="G131" s="66"/>
      <c r="H131" s="66"/>
      <c r="I131" s="66"/>
      <c r="J131" s="66"/>
      <c r="K131" s="66"/>
      <c r="L131" s="66"/>
      <c r="M131" s="66"/>
      <c r="N131" s="66"/>
      <c r="O131" s="66"/>
      <c r="P131" s="66"/>
      <c r="Q131" s="66"/>
      <c r="R131" s="66"/>
      <c r="S131" s="152" t="s">
        <v>121</v>
      </c>
      <c r="T131" s="65"/>
      <c r="U131" s="65"/>
      <c r="V131" s="65"/>
    </row>
    <row r="132" spans="1:22">
      <c r="A132" s="61" t="b">
        <v>0</v>
      </c>
      <c r="B132" s="62" t="s">
        <v>33</v>
      </c>
      <c r="C132" s="62"/>
      <c r="D132" s="62" t="b">
        <v>0</v>
      </c>
      <c r="E132" s="62" t="b">
        <v>1</v>
      </c>
      <c r="F132" s="71" t="s">
        <v>34</v>
      </c>
      <c r="G132" s="381" t="s">
        <v>293</v>
      </c>
      <c r="H132" s="382"/>
      <c r="I132" s="382"/>
      <c r="J132" s="382"/>
      <c r="K132" s="382"/>
      <c r="L132" s="382"/>
      <c r="M132" s="382"/>
      <c r="N132" s="382"/>
      <c r="O132" s="382"/>
      <c r="P132" s="382"/>
      <c r="Q132" s="382"/>
      <c r="R132" s="383"/>
      <c r="S132" s="70"/>
      <c r="T132" s="71"/>
      <c r="U132" s="41" t="s">
        <v>127</v>
      </c>
      <c r="V132" s="63"/>
    </row>
    <row r="133" spans="1:22" ht="42" customHeight="1">
      <c r="A133" s="61"/>
      <c r="B133" s="62"/>
      <c r="C133" s="62"/>
      <c r="D133" s="62"/>
      <c r="E133" s="62"/>
      <c r="F133" s="71" t="s">
        <v>294</v>
      </c>
      <c r="G133" s="448" t="s">
        <v>295</v>
      </c>
      <c r="H133" s="449"/>
      <c r="I133" s="449"/>
      <c r="J133" s="449"/>
      <c r="K133" s="449"/>
      <c r="L133" s="449"/>
      <c r="M133" s="449"/>
      <c r="N133" s="449"/>
      <c r="O133" s="449"/>
      <c r="P133" s="449"/>
      <c r="Q133" s="449"/>
      <c r="R133" s="450"/>
      <c r="S133" s="70" t="s">
        <v>1879</v>
      </c>
      <c r="T133" s="71"/>
      <c r="U133" s="41" t="s">
        <v>127</v>
      </c>
      <c r="V133" s="63"/>
    </row>
    <row r="134" spans="1:22" ht="42" customHeight="1">
      <c r="A134" s="61"/>
      <c r="B134" s="62"/>
      <c r="C134" s="62"/>
      <c r="D134" s="62"/>
      <c r="E134" s="62"/>
      <c r="F134" s="71" t="s">
        <v>296</v>
      </c>
      <c r="G134" s="448" t="s">
        <v>297</v>
      </c>
      <c r="H134" s="449"/>
      <c r="I134" s="449"/>
      <c r="J134" s="449"/>
      <c r="K134" s="449"/>
      <c r="L134" s="449"/>
      <c r="M134" s="449"/>
      <c r="N134" s="449"/>
      <c r="O134" s="449"/>
      <c r="P134" s="449"/>
      <c r="Q134" s="449"/>
      <c r="R134" s="450"/>
      <c r="S134" s="70"/>
      <c r="T134" s="71"/>
      <c r="U134" s="41" t="s">
        <v>127</v>
      </c>
      <c r="V134" s="63"/>
    </row>
    <row r="135" spans="1:22" ht="42" customHeight="1">
      <c r="A135" s="61"/>
      <c r="B135" s="62"/>
      <c r="C135" s="62"/>
      <c r="D135" s="62"/>
      <c r="E135" s="62"/>
      <c r="F135" s="71" t="s">
        <v>298</v>
      </c>
      <c r="G135" s="448" t="s">
        <v>299</v>
      </c>
      <c r="H135" s="449"/>
      <c r="I135" s="449"/>
      <c r="J135" s="449"/>
      <c r="K135" s="449"/>
      <c r="L135" s="449"/>
      <c r="M135" s="449"/>
      <c r="N135" s="449"/>
      <c r="O135" s="449"/>
      <c r="P135" s="449"/>
      <c r="Q135" s="449"/>
      <c r="R135" s="450"/>
      <c r="S135" s="70"/>
      <c r="T135" s="71"/>
      <c r="U135" s="41" t="s">
        <v>127</v>
      </c>
      <c r="V135" s="63"/>
    </row>
    <row r="136" spans="1:22" ht="42" customHeight="1">
      <c r="A136" s="61"/>
      <c r="B136" s="62"/>
      <c r="C136" s="62"/>
      <c r="D136" s="62"/>
      <c r="E136" s="62"/>
      <c r="F136" s="71" t="s">
        <v>300</v>
      </c>
      <c r="G136" s="448" t="s">
        <v>301</v>
      </c>
      <c r="H136" s="449"/>
      <c r="I136" s="449"/>
      <c r="J136" s="449"/>
      <c r="K136" s="449"/>
      <c r="L136" s="449"/>
      <c r="M136" s="449"/>
      <c r="N136" s="449"/>
      <c r="O136" s="449"/>
      <c r="P136" s="449"/>
      <c r="Q136" s="449"/>
      <c r="R136" s="450"/>
      <c r="S136" s="70"/>
      <c r="T136" s="71"/>
      <c r="U136" s="41" t="s">
        <v>127</v>
      </c>
      <c r="V136" s="63"/>
    </row>
    <row r="137" spans="1:22" ht="42" customHeight="1">
      <c r="A137" s="61"/>
      <c r="B137" s="62"/>
      <c r="C137" s="62"/>
      <c r="D137" s="62"/>
      <c r="E137" s="62"/>
      <c r="F137" s="71" t="s">
        <v>302</v>
      </c>
      <c r="G137" s="448" t="s">
        <v>303</v>
      </c>
      <c r="H137" s="449"/>
      <c r="I137" s="449"/>
      <c r="J137" s="449"/>
      <c r="K137" s="449"/>
      <c r="L137" s="449"/>
      <c r="M137" s="449"/>
      <c r="N137" s="449"/>
      <c r="O137" s="449"/>
      <c r="P137" s="449"/>
      <c r="Q137" s="449"/>
      <c r="R137" s="450"/>
      <c r="S137" s="70"/>
      <c r="T137" s="71"/>
      <c r="U137" s="41" t="s">
        <v>127</v>
      </c>
      <c r="V137" s="63"/>
    </row>
    <row r="138" spans="1:22" ht="42" customHeight="1">
      <c r="A138" s="61"/>
      <c r="B138" s="62"/>
      <c r="C138" s="62"/>
      <c r="D138" s="62"/>
      <c r="E138" s="62"/>
      <c r="F138" s="71" t="s">
        <v>304</v>
      </c>
      <c r="G138" s="451" t="s">
        <v>305</v>
      </c>
      <c r="H138" s="452"/>
      <c r="I138" s="452"/>
      <c r="J138" s="452"/>
      <c r="K138" s="452"/>
      <c r="L138" s="452"/>
      <c r="M138" s="452"/>
      <c r="N138" s="452"/>
      <c r="O138" s="452"/>
      <c r="P138" s="452"/>
      <c r="Q138" s="452"/>
      <c r="R138" s="453"/>
      <c r="S138" s="70"/>
      <c r="T138" s="71"/>
      <c r="U138" s="41" t="s">
        <v>127</v>
      </c>
      <c r="V138" s="63"/>
    </row>
    <row r="139" spans="1:22" ht="42" customHeight="1">
      <c r="A139" s="61"/>
      <c r="B139" s="62"/>
      <c r="C139" s="62"/>
      <c r="D139" s="62" t="b">
        <v>1</v>
      </c>
      <c r="E139" s="62" t="b">
        <v>1</v>
      </c>
      <c r="F139" s="71" t="s">
        <v>306</v>
      </c>
      <c r="G139" s="268">
        <v>0</v>
      </c>
      <c r="H139" s="269"/>
      <c r="I139" s="269"/>
      <c r="J139" s="269"/>
      <c r="K139" s="269"/>
      <c r="L139" s="269"/>
      <c r="M139" s="269"/>
      <c r="N139" s="269"/>
      <c r="O139" s="269"/>
      <c r="P139" s="269"/>
      <c r="Q139" s="269"/>
      <c r="R139" s="270"/>
      <c r="S139" s="70"/>
      <c r="T139" s="71"/>
      <c r="U139" s="41" t="s">
        <v>127</v>
      </c>
      <c r="V139" s="63"/>
    </row>
    <row r="140" spans="1:22" ht="42" customHeight="1">
      <c r="A140" s="61"/>
      <c r="B140" s="62"/>
      <c r="C140" s="62"/>
      <c r="D140" s="62" t="b">
        <v>1</v>
      </c>
      <c r="E140" s="62" t="b">
        <v>1</v>
      </c>
      <c r="F140" s="71" t="s">
        <v>307</v>
      </c>
      <c r="G140" s="268" t="s">
        <v>308</v>
      </c>
      <c r="H140" s="269"/>
      <c r="I140" s="269"/>
      <c r="J140" s="269"/>
      <c r="K140" s="269"/>
      <c r="L140" s="269"/>
      <c r="M140" s="269"/>
      <c r="N140" s="269"/>
      <c r="O140" s="269"/>
      <c r="P140" s="269"/>
      <c r="Q140" s="269"/>
      <c r="R140" s="270"/>
      <c r="S140" s="70" t="s">
        <v>1880</v>
      </c>
      <c r="T140" s="71"/>
      <c r="U140" s="41" t="s">
        <v>127</v>
      </c>
      <c r="V140" s="63"/>
    </row>
    <row r="141" spans="1:22" ht="42" customHeight="1">
      <c r="A141" s="61" t="b">
        <v>1</v>
      </c>
      <c r="B141" s="62" t="s">
        <v>309</v>
      </c>
      <c r="C141" s="62"/>
      <c r="D141" s="62" t="b">
        <v>1</v>
      </c>
      <c r="E141" s="62" t="b">
        <v>1</v>
      </c>
      <c r="F141" s="71" t="s">
        <v>310</v>
      </c>
      <c r="G141" s="384" t="s">
        <v>311</v>
      </c>
      <c r="H141" s="385"/>
      <c r="I141" s="385"/>
      <c r="J141" s="385"/>
      <c r="K141" s="385"/>
      <c r="L141" s="385"/>
      <c r="M141" s="385"/>
      <c r="N141" s="385"/>
      <c r="O141" s="385"/>
      <c r="P141" s="385"/>
      <c r="Q141" s="385"/>
      <c r="R141" s="386"/>
      <c r="S141" s="70"/>
      <c r="T141" s="71" t="s">
        <v>153</v>
      </c>
      <c r="U141" s="41" t="s">
        <v>127</v>
      </c>
      <c r="V141" s="63"/>
    </row>
    <row r="142" spans="1:22" ht="42" customHeight="1">
      <c r="A142" s="61" t="b">
        <v>1</v>
      </c>
      <c r="B142" s="62" t="s">
        <v>309</v>
      </c>
      <c r="C142" s="62"/>
      <c r="D142" s="62" t="b">
        <v>1</v>
      </c>
      <c r="E142" s="62" t="b">
        <v>1</v>
      </c>
      <c r="F142" s="71" t="s">
        <v>312</v>
      </c>
      <c r="G142" s="378" t="s">
        <v>313</v>
      </c>
      <c r="H142" s="379"/>
      <c r="I142" s="379"/>
      <c r="J142" s="379"/>
      <c r="K142" s="379"/>
      <c r="L142" s="379"/>
      <c r="M142" s="379"/>
      <c r="N142" s="379"/>
      <c r="O142" s="379"/>
      <c r="P142" s="379"/>
      <c r="Q142" s="379"/>
      <c r="R142" s="380"/>
      <c r="S142" s="70" t="s">
        <v>1882</v>
      </c>
      <c r="T142" s="71" t="s">
        <v>153</v>
      </c>
      <c r="U142" s="41" t="s">
        <v>127</v>
      </c>
      <c r="V142" s="63"/>
    </row>
    <row r="143" spans="1:22" ht="42" customHeight="1">
      <c r="A143" s="61" t="b">
        <v>1</v>
      </c>
      <c r="B143" s="62" t="s">
        <v>309</v>
      </c>
      <c r="C143" s="62"/>
      <c r="D143" s="62" t="b">
        <v>1</v>
      </c>
      <c r="E143" s="62" t="b">
        <v>1</v>
      </c>
      <c r="F143" s="71" t="s">
        <v>314</v>
      </c>
      <c r="G143" s="378" t="s">
        <v>315</v>
      </c>
      <c r="H143" s="379"/>
      <c r="I143" s="379"/>
      <c r="J143" s="379"/>
      <c r="K143" s="379"/>
      <c r="L143" s="379"/>
      <c r="M143" s="379"/>
      <c r="N143" s="379"/>
      <c r="O143" s="379"/>
      <c r="P143" s="379"/>
      <c r="Q143" s="379"/>
      <c r="R143" s="380"/>
      <c r="S143" s="70"/>
      <c r="T143" s="71" t="s">
        <v>153</v>
      </c>
      <c r="U143" s="41" t="s">
        <v>127</v>
      </c>
      <c r="V143" s="63"/>
    </row>
    <row r="144" spans="1:22" ht="42" customHeight="1">
      <c r="A144" s="61"/>
      <c r="B144" s="62"/>
      <c r="C144" s="62"/>
      <c r="D144" s="62"/>
      <c r="E144" s="62"/>
      <c r="F144" s="71" t="s">
        <v>316</v>
      </c>
      <c r="G144" s="281" t="s">
        <v>317</v>
      </c>
      <c r="H144" s="282"/>
      <c r="I144" s="282"/>
      <c r="J144" s="282"/>
      <c r="K144" s="282"/>
      <c r="L144" s="282"/>
      <c r="M144" s="282"/>
      <c r="N144" s="282"/>
      <c r="O144" s="282"/>
      <c r="P144" s="282"/>
      <c r="Q144" s="282"/>
      <c r="R144" s="283"/>
      <c r="S144" s="70"/>
      <c r="T144" s="71" t="s">
        <v>153</v>
      </c>
      <c r="U144" s="41" t="s">
        <v>127</v>
      </c>
      <c r="V144" s="63"/>
    </row>
    <row r="145" spans="1:22" ht="42" customHeight="1">
      <c r="A145" s="61"/>
      <c r="B145" s="62"/>
      <c r="C145" s="62"/>
      <c r="D145" s="62"/>
      <c r="E145" s="62"/>
      <c r="F145" s="71"/>
      <c r="G145" s="281"/>
      <c r="H145" s="282"/>
      <c r="I145" s="282"/>
      <c r="J145" s="282"/>
      <c r="K145" s="282"/>
      <c r="L145" s="282"/>
      <c r="M145" s="282"/>
      <c r="N145" s="282"/>
      <c r="O145" s="282"/>
      <c r="P145" s="282"/>
      <c r="Q145" s="282"/>
      <c r="R145" s="283"/>
      <c r="S145" s="70"/>
      <c r="T145" s="71"/>
      <c r="U145" s="41"/>
      <c r="V145" s="63"/>
    </row>
    <row r="146" spans="1:22" ht="42" customHeight="1">
      <c r="A146" s="61"/>
      <c r="B146" s="62"/>
      <c r="C146" s="62"/>
      <c r="D146" s="62"/>
      <c r="E146" s="62"/>
      <c r="F146" s="71"/>
      <c r="G146" s="281"/>
      <c r="H146" s="282"/>
      <c r="I146" s="282"/>
      <c r="J146" s="282"/>
      <c r="K146" s="282"/>
      <c r="L146" s="282"/>
      <c r="M146" s="282"/>
      <c r="N146" s="282"/>
      <c r="O146" s="282"/>
      <c r="P146" s="282"/>
      <c r="Q146" s="282"/>
      <c r="R146" s="283"/>
      <c r="S146" s="70"/>
      <c r="T146" s="71"/>
      <c r="U146" s="41"/>
      <c r="V146" s="63"/>
    </row>
    <row r="147" spans="1:22">
      <c r="A147" s="61" t="b">
        <v>0</v>
      </c>
      <c r="B147" s="62" t="s">
        <v>33</v>
      </c>
      <c r="C147" s="62"/>
      <c r="D147" s="62" t="b">
        <v>0</v>
      </c>
      <c r="E147" s="62" t="b">
        <v>1</v>
      </c>
      <c r="F147" s="71" t="s">
        <v>34</v>
      </c>
      <c r="G147" s="381" t="s">
        <v>318</v>
      </c>
      <c r="H147" s="382"/>
      <c r="I147" s="382"/>
      <c r="J147" s="382"/>
      <c r="K147" s="382"/>
      <c r="L147" s="382"/>
      <c r="M147" s="382"/>
      <c r="N147" s="382"/>
      <c r="O147" s="382"/>
      <c r="P147" s="382"/>
      <c r="Q147" s="382"/>
      <c r="R147" s="383"/>
      <c r="S147" s="70"/>
      <c r="T147" s="71"/>
      <c r="U147" s="41" t="s">
        <v>127</v>
      </c>
      <c r="V147" s="63"/>
    </row>
    <row r="148" spans="1:22">
      <c r="A148" s="61" t="b">
        <v>0</v>
      </c>
      <c r="B148" s="62" t="s">
        <v>309</v>
      </c>
      <c r="C148" s="62"/>
      <c r="D148" s="62" t="b">
        <v>1</v>
      </c>
      <c r="E148" s="62" t="b">
        <v>1</v>
      </c>
      <c r="F148" s="71" t="s">
        <v>319</v>
      </c>
      <c r="G148" s="317" t="s">
        <v>320</v>
      </c>
      <c r="H148" s="318"/>
      <c r="I148" s="318"/>
      <c r="J148" s="318"/>
      <c r="K148" s="318"/>
      <c r="L148" s="318"/>
      <c r="M148" s="318"/>
      <c r="N148" s="318"/>
      <c r="O148" s="318"/>
      <c r="P148" s="318"/>
      <c r="Q148" s="318"/>
      <c r="R148" s="319"/>
      <c r="S148" s="70" t="s">
        <v>1881</v>
      </c>
      <c r="T148" s="71" t="s">
        <v>153</v>
      </c>
      <c r="U148" s="41" t="s">
        <v>127</v>
      </c>
      <c r="V148" s="63"/>
    </row>
    <row r="149" spans="1:22">
      <c r="A149" s="61" t="b">
        <v>0</v>
      </c>
      <c r="B149" s="62" t="s">
        <v>309</v>
      </c>
      <c r="C149" s="62"/>
      <c r="D149" s="62" t="b">
        <v>1</v>
      </c>
      <c r="E149" s="62" t="b">
        <v>1</v>
      </c>
      <c r="F149" s="71" t="s">
        <v>321</v>
      </c>
      <c r="G149" s="320" t="s">
        <v>322</v>
      </c>
      <c r="H149" s="321"/>
      <c r="I149" s="321"/>
      <c r="J149" s="321"/>
      <c r="K149" s="321"/>
      <c r="L149" s="321"/>
      <c r="M149" s="321"/>
      <c r="N149" s="321"/>
      <c r="O149" s="321"/>
      <c r="P149" s="321"/>
      <c r="Q149" s="321"/>
      <c r="R149" s="322"/>
      <c r="S149" s="70"/>
      <c r="T149" s="71" t="s">
        <v>153</v>
      </c>
      <c r="U149" s="41" t="s">
        <v>127</v>
      </c>
      <c r="V149" s="63"/>
    </row>
    <row r="150" spans="1:22">
      <c r="A150" s="61" t="b">
        <v>0</v>
      </c>
      <c r="B150" s="62" t="s">
        <v>309</v>
      </c>
      <c r="C150" s="62"/>
      <c r="D150" s="62" t="b">
        <v>1</v>
      </c>
      <c r="E150" s="62" t="b">
        <v>1</v>
      </c>
      <c r="F150" s="71" t="s">
        <v>323</v>
      </c>
      <c r="G150" s="320"/>
      <c r="H150" s="321"/>
      <c r="I150" s="321"/>
      <c r="J150" s="321"/>
      <c r="K150" s="321"/>
      <c r="L150" s="321"/>
      <c r="M150" s="321"/>
      <c r="N150" s="321"/>
      <c r="O150" s="321"/>
      <c r="P150" s="321"/>
      <c r="Q150" s="321"/>
      <c r="R150" s="322"/>
      <c r="S150" s="70"/>
      <c r="T150" s="71" t="s">
        <v>153</v>
      </c>
      <c r="U150" s="41" t="s">
        <v>20</v>
      </c>
      <c r="V150" s="63"/>
    </row>
    <row r="151" spans="1:22" ht="60" customHeight="1">
      <c r="A151" s="61"/>
      <c r="B151" s="62"/>
      <c r="C151" s="62"/>
      <c r="D151" s="62" t="b">
        <v>1</v>
      </c>
      <c r="E151" s="62" t="b">
        <v>1</v>
      </c>
      <c r="F151" s="71" t="s">
        <v>324</v>
      </c>
      <c r="G151" s="320"/>
      <c r="H151" s="321"/>
      <c r="I151" s="321"/>
      <c r="J151" s="321"/>
      <c r="K151" s="321"/>
      <c r="L151" s="321"/>
      <c r="M151" s="321"/>
      <c r="N151" s="321"/>
      <c r="O151" s="321"/>
      <c r="P151" s="321"/>
      <c r="Q151" s="321"/>
      <c r="R151" s="322"/>
      <c r="S151" s="70"/>
      <c r="T151" s="71" t="s">
        <v>153</v>
      </c>
      <c r="U151" s="41" t="s">
        <v>20</v>
      </c>
      <c r="V151" s="63"/>
    </row>
    <row r="152" spans="1:22">
      <c r="A152" s="61" t="b">
        <v>0</v>
      </c>
      <c r="B152" s="62" t="s">
        <v>33</v>
      </c>
      <c r="C152" s="62"/>
      <c r="D152" s="62" t="b">
        <v>1</v>
      </c>
      <c r="E152" s="62" t="b">
        <v>1</v>
      </c>
      <c r="F152" s="71" t="s">
        <v>34</v>
      </c>
      <c r="G152" s="350"/>
      <c r="H152" s="351"/>
      <c r="I152" s="351"/>
      <c r="J152" s="351"/>
      <c r="K152" s="351"/>
      <c r="L152" s="351"/>
      <c r="M152" s="351"/>
      <c r="N152" s="351"/>
      <c r="O152" s="351"/>
      <c r="P152" s="351"/>
      <c r="Q152" s="351"/>
      <c r="R152" s="352"/>
      <c r="S152" s="70"/>
      <c r="T152" s="71" t="s">
        <v>153</v>
      </c>
      <c r="U152" s="41" t="s">
        <v>20</v>
      </c>
      <c r="V152" s="63"/>
    </row>
    <row r="153" spans="1:22">
      <c r="A153" s="61" t="b">
        <v>0</v>
      </c>
      <c r="B153" s="62" t="s">
        <v>309</v>
      </c>
      <c r="C153" s="62"/>
      <c r="D153" s="62" t="b">
        <v>1</v>
      </c>
      <c r="E153" s="62" t="b">
        <v>1</v>
      </c>
      <c r="F153" s="71" t="s">
        <v>325</v>
      </c>
      <c r="G153" s="320"/>
      <c r="H153" s="321"/>
      <c r="I153" s="321"/>
      <c r="J153" s="321"/>
      <c r="K153" s="321"/>
      <c r="L153" s="321"/>
      <c r="M153" s="321"/>
      <c r="N153" s="321"/>
      <c r="O153" s="321"/>
      <c r="P153" s="321"/>
      <c r="Q153" s="321"/>
      <c r="R153" s="322"/>
      <c r="S153" s="70"/>
      <c r="T153" s="71" t="s">
        <v>153</v>
      </c>
      <c r="U153" s="41" t="s">
        <v>20</v>
      </c>
      <c r="V153" s="63"/>
    </row>
    <row r="154" spans="1:22">
      <c r="A154" s="61" t="b">
        <v>0</v>
      </c>
      <c r="B154" s="62" t="s">
        <v>309</v>
      </c>
      <c r="C154" s="62"/>
      <c r="D154" s="62" t="b">
        <v>1</v>
      </c>
      <c r="E154" s="62" t="b">
        <v>1</v>
      </c>
      <c r="F154" s="71" t="s">
        <v>326</v>
      </c>
      <c r="G154" s="371"/>
      <c r="H154" s="372"/>
      <c r="I154" s="372"/>
      <c r="J154" s="372"/>
      <c r="K154" s="372"/>
      <c r="L154" s="372"/>
      <c r="M154" s="372"/>
      <c r="N154" s="372"/>
      <c r="O154" s="372"/>
      <c r="P154" s="372"/>
      <c r="Q154" s="372"/>
      <c r="R154" s="373"/>
      <c r="S154" s="70"/>
      <c r="T154" s="71" t="s">
        <v>153</v>
      </c>
      <c r="U154" s="41" t="s">
        <v>20</v>
      </c>
      <c r="V154" s="63"/>
    </row>
    <row r="155" spans="1:22">
      <c r="A155" s="61" t="b">
        <v>0</v>
      </c>
      <c r="B155" s="62" t="s">
        <v>309</v>
      </c>
      <c r="C155" s="62"/>
      <c r="D155" s="62" t="b">
        <v>1</v>
      </c>
      <c r="E155" s="62" t="b">
        <v>1</v>
      </c>
      <c r="F155" s="71" t="s">
        <v>34</v>
      </c>
      <c r="G155" s="350" t="s">
        <v>327</v>
      </c>
      <c r="H155" s="351"/>
      <c r="I155" s="351"/>
      <c r="J155" s="351"/>
      <c r="K155" s="351"/>
      <c r="L155" s="351"/>
      <c r="M155" s="351"/>
      <c r="N155" s="351"/>
      <c r="O155" s="351"/>
      <c r="P155" s="351"/>
      <c r="Q155" s="351"/>
      <c r="R155" s="352"/>
      <c r="S155" s="70"/>
      <c r="T155" s="71" t="s">
        <v>153</v>
      </c>
      <c r="U155" s="41" t="s">
        <v>20</v>
      </c>
      <c r="V155" s="63"/>
    </row>
    <row r="156" spans="1:22">
      <c r="A156" s="61" t="b">
        <v>0</v>
      </c>
      <c r="B156" s="62" t="s">
        <v>309</v>
      </c>
      <c r="C156" s="62"/>
      <c r="D156" s="62" t="b">
        <v>1</v>
      </c>
      <c r="E156" s="62" t="b">
        <v>1</v>
      </c>
      <c r="F156" s="71" t="s">
        <v>328</v>
      </c>
      <c r="G156" s="320"/>
      <c r="H156" s="321"/>
      <c r="I156" s="321"/>
      <c r="J156" s="321"/>
      <c r="K156" s="321"/>
      <c r="L156" s="321"/>
      <c r="M156" s="321"/>
      <c r="N156" s="321"/>
      <c r="O156" s="321"/>
      <c r="P156" s="321"/>
      <c r="Q156" s="321"/>
      <c r="R156" s="322"/>
      <c r="S156" s="70" t="s">
        <v>329</v>
      </c>
      <c r="T156" s="71" t="s">
        <v>153</v>
      </c>
      <c r="U156" s="41" t="s">
        <v>20</v>
      </c>
      <c r="V156" s="63"/>
    </row>
    <row r="157" spans="1:22">
      <c r="A157" s="61" t="b">
        <v>0</v>
      </c>
      <c r="B157" s="62" t="s">
        <v>33</v>
      </c>
      <c r="C157" s="62"/>
      <c r="D157" s="62" t="b">
        <v>1</v>
      </c>
      <c r="E157" s="62" t="b">
        <v>1</v>
      </c>
      <c r="F157" s="71" t="s">
        <v>34</v>
      </c>
      <c r="G157" s="350" t="s">
        <v>330</v>
      </c>
      <c r="H157" s="351"/>
      <c r="I157" s="351"/>
      <c r="J157" s="351"/>
      <c r="K157" s="351"/>
      <c r="L157" s="351"/>
      <c r="M157" s="351"/>
      <c r="N157" s="351"/>
      <c r="O157" s="351"/>
      <c r="P157" s="351"/>
      <c r="Q157" s="351"/>
      <c r="R157" s="352"/>
      <c r="S157" s="70"/>
      <c r="T157" s="71" t="s">
        <v>153</v>
      </c>
      <c r="U157" s="41" t="s">
        <v>20</v>
      </c>
      <c r="V157" s="63"/>
    </row>
    <row r="158" spans="1:22">
      <c r="A158" s="61" t="b">
        <v>0</v>
      </c>
      <c r="B158" s="62" t="s">
        <v>309</v>
      </c>
      <c r="C158" s="62"/>
      <c r="D158" s="62" t="b">
        <v>0</v>
      </c>
      <c r="E158" s="62" t="b">
        <v>1</v>
      </c>
      <c r="F158" s="71" t="s">
        <v>331</v>
      </c>
      <c r="G158" s="320" t="s">
        <v>332</v>
      </c>
      <c r="H158" s="321"/>
      <c r="I158" s="321"/>
      <c r="J158" s="321"/>
      <c r="K158" s="321"/>
      <c r="L158" s="321"/>
      <c r="M158" s="321"/>
      <c r="N158" s="321"/>
      <c r="O158" s="321"/>
      <c r="P158" s="321"/>
      <c r="Q158" s="321"/>
      <c r="R158" s="322"/>
      <c r="S158" s="70" t="s">
        <v>333</v>
      </c>
      <c r="T158" s="71" t="s">
        <v>153</v>
      </c>
      <c r="U158" s="41" t="s">
        <v>127</v>
      </c>
      <c r="V158" s="63"/>
    </row>
    <row r="159" spans="1:22">
      <c r="A159" s="61" t="b">
        <v>0</v>
      </c>
      <c r="B159" s="62" t="s">
        <v>309</v>
      </c>
      <c r="C159" s="62"/>
      <c r="D159" s="62" t="b">
        <v>1</v>
      </c>
      <c r="E159" s="62" t="b">
        <v>1</v>
      </c>
      <c r="F159" s="71" t="s">
        <v>334</v>
      </c>
      <c r="G159" s="371"/>
      <c r="H159" s="372"/>
      <c r="I159" s="372"/>
      <c r="J159" s="372"/>
      <c r="K159" s="372"/>
      <c r="L159" s="372"/>
      <c r="M159" s="372"/>
      <c r="N159" s="372"/>
      <c r="O159" s="372"/>
      <c r="P159" s="372"/>
      <c r="Q159" s="372"/>
      <c r="R159" s="373"/>
      <c r="S159" s="70" t="s">
        <v>335</v>
      </c>
      <c r="T159" s="71" t="s">
        <v>153</v>
      </c>
      <c r="U159" s="41" t="s">
        <v>20</v>
      </c>
      <c r="V159" s="63"/>
    </row>
    <row r="160" spans="1:22">
      <c r="A160" s="61" t="b">
        <v>0</v>
      </c>
      <c r="B160" s="62" t="s">
        <v>309</v>
      </c>
      <c r="C160" s="62"/>
      <c r="D160" s="62" t="b">
        <v>0</v>
      </c>
      <c r="E160" s="62" t="b">
        <v>1</v>
      </c>
      <c r="F160" s="71" t="s">
        <v>34</v>
      </c>
      <c r="G160" s="350" t="s">
        <v>336</v>
      </c>
      <c r="H160" s="351"/>
      <c r="I160" s="351"/>
      <c r="J160" s="351"/>
      <c r="K160" s="351"/>
      <c r="L160" s="351"/>
      <c r="M160" s="351"/>
      <c r="N160" s="351"/>
      <c r="O160" s="351"/>
      <c r="P160" s="351"/>
      <c r="Q160" s="351"/>
      <c r="R160" s="352"/>
      <c r="S160" s="70"/>
      <c r="T160" s="71" t="s">
        <v>153</v>
      </c>
      <c r="U160" s="41" t="s">
        <v>20</v>
      </c>
      <c r="V160" s="63"/>
    </row>
    <row r="161" spans="1:22">
      <c r="A161" s="61" t="b">
        <v>0</v>
      </c>
      <c r="B161" s="62" t="s">
        <v>309</v>
      </c>
      <c r="C161" s="62"/>
      <c r="D161" s="62" t="b">
        <v>1</v>
      </c>
      <c r="E161" s="62" t="b">
        <v>1</v>
      </c>
      <c r="F161" s="71" t="s">
        <v>337</v>
      </c>
      <c r="G161" s="320" t="s">
        <v>338</v>
      </c>
      <c r="H161" s="321"/>
      <c r="I161" s="321"/>
      <c r="J161" s="321"/>
      <c r="K161" s="321"/>
      <c r="L161" s="321"/>
      <c r="M161" s="321"/>
      <c r="N161" s="321"/>
      <c r="O161" s="321"/>
      <c r="P161" s="321"/>
      <c r="Q161" s="321"/>
      <c r="R161" s="322"/>
      <c r="S161" s="70" t="s">
        <v>339</v>
      </c>
      <c r="T161" s="71" t="s">
        <v>153</v>
      </c>
      <c r="U161" s="41" t="s">
        <v>127</v>
      </c>
      <c r="V161" s="63"/>
    </row>
    <row r="162" spans="1:22">
      <c r="A162" s="61" t="b">
        <v>0</v>
      </c>
      <c r="B162" s="62" t="s">
        <v>309</v>
      </c>
      <c r="C162" s="62"/>
      <c r="D162" s="62" t="b">
        <v>1</v>
      </c>
      <c r="E162" s="62" t="b">
        <v>1</v>
      </c>
      <c r="F162" s="71" t="s">
        <v>340</v>
      </c>
      <c r="G162" s="320"/>
      <c r="H162" s="321"/>
      <c r="I162" s="321"/>
      <c r="J162" s="321"/>
      <c r="K162" s="321"/>
      <c r="L162" s="321"/>
      <c r="M162" s="321"/>
      <c r="N162" s="321"/>
      <c r="O162" s="321"/>
      <c r="P162" s="321"/>
      <c r="Q162" s="321"/>
      <c r="R162" s="322"/>
      <c r="S162" s="70" t="s">
        <v>341</v>
      </c>
      <c r="T162" s="71" t="s">
        <v>153</v>
      </c>
      <c r="U162" s="41" t="s">
        <v>20</v>
      </c>
      <c r="V162" s="63"/>
    </row>
    <row r="163" spans="1:22">
      <c r="A163" s="61" t="b">
        <v>0</v>
      </c>
      <c r="B163" s="62" t="s">
        <v>33</v>
      </c>
      <c r="C163" s="62"/>
      <c r="D163" s="62" t="b">
        <v>0</v>
      </c>
      <c r="E163" s="62" t="b">
        <v>0</v>
      </c>
      <c r="F163" s="71" t="s">
        <v>34</v>
      </c>
      <c r="G163" s="350" t="s">
        <v>342</v>
      </c>
      <c r="H163" s="351"/>
      <c r="I163" s="351"/>
      <c r="J163" s="351"/>
      <c r="K163" s="351"/>
      <c r="L163" s="351"/>
      <c r="M163" s="351"/>
      <c r="N163" s="351"/>
      <c r="O163" s="351"/>
      <c r="P163" s="351"/>
      <c r="Q163" s="351"/>
      <c r="R163" s="352"/>
      <c r="S163" s="70"/>
      <c r="T163" s="71" t="s">
        <v>153</v>
      </c>
      <c r="U163" s="41" t="s">
        <v>20</v>
      </c>
      <c r="V163" s="63"/>
    </row>
    <row r="164" spans="1:22" ht="29">
      <c r="A164" s="61" t="b">
        <v>0</v>
      </c>
      <c r="B164" s="62" t="s">
        <v>343</v>
      </c>
      <c r="C164" s="62"/>
      <c r="D164" s="62" t="b">
        <v>1</v>
      </c>
      <c r="E164" s="62" t="b">
        <v>0</v>
      </c>
      <c r="F164" s="71" t="s">
        <v>344</v>
      </c>
      <c r="G164" s="354" t="s">
        <v>345</v>
      </c>
      <c r="H164" s="355"/>
      <c r="I164" s="355"/>
      <c r="J164" s="355"/>
      <c r="K164" s="355"/>
      <c r="L164" s="355"/>
      <c r="M164" s="355"/>
      <c r="N164" s="355"/>
      <c r="O164" s="355"/>
      <c r="P164" s="355"/>
      <c r="Q164" s="355"/>
      <c r="R164" s="356"/>
      <c r="S164" s="70" t="s">
        <v>346</v>
      </c>
      <c r="T164" s="71" t="s">
        <v>153</v>
      </c>
      <c r="U164" s="41" t="s">
        <v>127</v>
      </c>
      <c r="V164" s="63"/>
    </row>
    <row r="165" spans="1:22" ht="29">
      <c r="A165" s="61" t="b">
        <v>0</v>
      </c>
      <c r="B165" s="62" t="s">
        <v>347</v>
      </c>
      <c r="C165" s="62"/>
      <c r="D165" s="62" t="b">
        <v>1</v>
      </c>
      <c r="E165" s="62" t="b">
        <v>0</v>
      </c>
      <c r="F165" s="71" t="s">
        <v>348</v>
      </c>
      <c r="G165" s="354" t="s">
        <v>349</v>
      </c>
      <c r="H165" s="355"/>
      <c r="I165" s="355"/>
      <c r="J165" s="355"/>
      <c r="K165" s="355"/>
      <c r="L165" s="355"/>
      <c r="M165" s="355"/>
      <c r="N165" s="355"/>
      <c r="O165" s="355"/>
      <c r="P165" s="355"/>
      <c r="Q165" s="355"/>
      <c r="R165" s="356"/>
      <c r="S165" s="70" t="s">
        <v>350</v>
      </c>
      <c r="T165" s="71" t="s">
        <v>153</v>
      </c>
      <c r="U165" s="41" t="s">
        <v>127</v>
      </c>
      <c r="V165" s="63"/>
    </row>
    <row r="166" spans="1:22" ht="29">
      <c r="A166" s="61"/>
      <c r="B166" s="62"/>
      <c r="C166" s="62"/>
      <c r="D166" s="62"/>
      <c r="E166" s="62"/>
      <c r="F166" s="56" t="s">
        <v>351</v>
      </c>
      <c r="G166" s="290" t="s">
        <v>352</v>
      </c>
      <c r="H166" s="291"/>
      <c r="I166" s="291"/>
      <c r="J166" s="291"/>
      <c r="K166" s="291"/>
      <c r="L166" s="291"/>
      <c r="M166" s="291"/>
      <c r="N166" s="291"/>
      <c r="O166" s="291"/>
      <c r="P166" s="291"/>
      <c r="Q166" s="291"/>
      <c r="R166" s="292"/>
      <c r="S166" s="72"/>
      <c r="T166" s="56"/>
      <c r="U166" s="57"/>
      <c r="V166" s="57"/>
    </row>
    <row r="167" spans="1:22" ht="42">
      <c r="A167" s="61"/>
      <c r="B167" s="62"/>
      <c r="C167" s="62"/>
      <c r="D167" s="62"/>
      <c r="E167" s="62"/>
      <c r="F167" s="149" t="s">
        <v>353</v>
      </c>
      <c r="G167" s="354" t="s">
        <v>354</v>
      </c>
      <c r="H167" s="355"/>
      <c r="I167" s="355"/>
      <c r="J167" s="355"/>
      <c r="K167" s="355"/>
      <c r="L167" s="355"/>
      <c r="M167" s="355"/>
      <c r="N167" s="355"/>
      <c r="O167" s="355"/>
      <c r="P167" s="355"/>
      <c r="Q167" s="355"/>
      <c r="R167" s="356"/>
      <c r="S167" s="70" t="s">
        <v>355</v>
      </c>
      <c r="T167" s="71"/>
      <c r="U167" s="41" t="s">
        <v>127</v>
      </c>
      <c r="V167" s="63"/>
    </row>
    <row r="168" spans="1:22" ht="84">
      <c r="A168" s="61"/>
      <c r="B168" s="62"/>
      <c r="C168" s="62"/>
      <c r="D168" s="62"/>
      <c r="E168" s="62"/>
      <c r="F168" s="148" t="s">
        <v>356</v>
      </c>
      <c r="G168" s="354">
        <v>4</v>
      </c>
      <c r="H168" s="355"/>
      <c r="I168" s="355"/>
      <c r="J168" s="355"/>
      <c r="K168" s="355"/>
      <c r="L168" s="355"/>
      <c r="M168" s="355"/>
      <c r="N168" s="355"/>
      <c r="O168" s="355"/>
      <c r="P168" s="355"/>
      <c r="Q168" s="355"/>
      <c r="R168" s="356"/>
      <c r="S168" s="70">
        <v>3</v>
      </c>
      <c r="T168" s="71"/>
      <c r="U168" s="41" t="s">
        <v>127</v>
      </c>
      <c r="V168" s="63"/>
    </row>
    <row r="169" spans="1:22" ht="28">
      <c r="A169" s="61"/>
      <c r="B169" s="62"/>
      <c r="C169" s="62"/>
      <c r="D169" s="62"/>
      <c r="E169" s="62"/>
      <c r="F169" s="148" t="s">
        <v>357</v>
      </c>
      <c r="G169" s="354" t="s">
        <v>358</v>
      </c>
      <c r="H169" s="355"/>
      <c r="I169" s="355"/>
      <c r="J169" s="355"/>
      <c r="K169" s="355"/>
      <c r="L169" s="355"/>
      <c r="M169" s="355"/>
      <c r="N169" s="355"/>
      <c r="O169" s="355"/>
      <c r="P169" s="355"/>
      <c r="Q169" s="355"/>
      <c r="R169" s="356"/>
      <c r="S169" s="70" t="s">
        <v>359</v>
      </c>
      <c r="T169" s="71"/>
      <c r="U169" s="41" t="s">
        <v>127</v>
      </c>
      <c r="V169" s="63"/>
    </row>
    <row r="170" spans="1:22" ht="28">
      <c r="A170" s="61"/>
      <c r="B170" s="62"/>
      <c r="C170" s="62"/>
      <c r="D170" s="62"/>
      <c r="E170" s="62"/>
      <c r="F170" s="148" t="s">
        <v>360</v>
      </c>
      <c r="G170" s="354" t="s">
        <v>361</v>
      </c>
      <c r="H170" s="355"/>
      <c r="I170" s="355"/>
      <c r="J170" s="355"/>
      <c r="K170" s="355"/>
      <c r="L170" s="355"/>
      <c r="M170" s="355"/>
      <c r="N170" s="355"/>
      <c r="O170" s="355"/>
      <c r="P170" s="355"/>
      <c r="Q170" s="355"/>
      <c r="R170" s="356"/>
      <c r="S170" s="70" t="s">
        <v>362</v>
      </c>
      <c r="T170" s="71"/>
      <c r="U170" s="41" t="s">
        <v>127</v>
      </c>
      <c r="V170" s="63"/>
    </row>
    <row r="171" spans="1:22" ht="28">
      <c r="A171" s="61"/>
      <c r="B171" s="62"/>
      <c r="C171" s="62"/>
      <c r="D171" s="62"/>
      <c r="E171" s="62"/>
      <c r="F171" s="150" t="s">
        <v>363</v>
      </c>
      <c r="G171" s="354" t="s">
        <v>364</v>
      </c>
      <c r="H171" s="355"/>
      <c r="I171" s="355"/>
      <c r="J171" s="355"/>
      <c r="K171" s="355"/>
      <c r="L171" s="355"/>
      <c r="M171" s="355"/>
      <c r="N171" s="355"/>
      <c r="O171" s="355"/>
      <c r="P171" s="355"/>
      <c r="Q171" s="355"/>
      <c r="R171" s="356"/>
      <c r="S171" s="70" t="s">
        <v>365</v>
      </c>
      <c r="T171" s="71"/>
      <c r="U171" s="41" t="s">
        <v>127</v>
      </c>
      <c r="V171" s="63"/>
    </row>
    <row r="172" spans="1:22" ht="42" customHeight="1">
      <c r="A172" s="61"/>
      <c r="B172" s="62"/>
      <c r="C172" s="62"/>
      <c r="D172" s="62"/>
      <c r="E172" s="62"/>
      <c r="F172" s="148" t="s">
        <v>366</v>
      </c>
      <c r="G172" s="354" t="s">
        <v>367</v>
      </c>
      <c r="H172" s="355"/>
      <c r="I172" s="355"/>
      <c r="J172" s="355"/>
      <c r="K172" s="355"/>
      <c r="L172" s="355"/>
      <c r="M172" s="355"/>
      <c r="N172" s="355"/>
      <c r="O172" s="355"/>
      <c r="P172" s="355"/>
      <c r="Q172" s="355"/>
      <c r="R172" s="356"/>
      <c r="S172" s="70" t="s">
        <v>368</v>
      </c>
      <c r="T172" s="71"/>
      <c r="U172" s="41" t="s">
        <v>127</v>
      </c>
      <c r="V172" s="63"/>
    </row>
    <row r="173" spans="1:22" ht="84" customHeight="1">
      <c r="A173" s="61"/>
      <c r="B173" s="62"/>
      <c r="C173" s="62"/>
      <c r="D173" s="62"/>
      <c r="E173" s="62"/>
      <c r="F173" s="148" t="s">
        <v>356</v>
      </c>
      <c r="G173" s="354">
        <v>4</v>
      </c>
      <c r="H173" s="355"/>
      <c r="I173" s="355"/>
      <c r="J173" s="355"/>
      <c r="K173" s="355"/>
      <c r="L173" s="355"/>
      <c r="M173" s="355"/>
      <c r="N173" s="355"/>
      <c r="O173" s="355"/>
      <c r="P173" s="355"/>
      <c r="Q173" s="355"/>
      <c r="R173" s="356"/>
      <c r="S173" s="70">
        <v>3</v>
      </c>
      <c r="T173" s="71"/>
      <c r="U173" s="41" t="s">
        <v>127</v>
      </c>
      <c r="V173" s="63"/>
    </row>
    <row r="174" spans="1:22" ht="43.5" customHeight="1">
      <c r="A174" s="61"/>
      <c r="B174" s="62"/>
      <c r="C174" s="62"/>
      <c r="D174" s="62"/>
      <c r="E174" s="62"/>
      <c r="F174" s="148" t="s">
        <v>357</v>
      </c>
      <c r="G174" s="354" t="s">
        <v>358</v>
      </c>
      <c r="H174" s="355"/>
      <c r="I174" s="355"/>
      <c r="J174" s="355"/>
      <c r="K174" s="355"/>
      <c r="L174" s="355"/>
      <c r="M174" s="355"/>
      <c r="N174" s="355"/>
      <c r="O174" s="355"/>
      <c r="P174" s="355"/>
      <c r="Q174" s="355"/>
      <c r="R174" s="356"/>
      <c r="S174" s="70" t="s">
        <v>369</v>
      </c>
      <c r="T174" s="71"/>
      <c r="U174" s="41" t="s">
        <v>127</v>
      </c>
      <c r="V174" s="63"/>
    </row>
    <row r="175" spans="1:22" ht="28" customHeight="1">
      <c r="A175" s="61"/>
      <c r="B175" s="62"/>
      <c r="C175" s="62"/>
      <c r="D175" s="62"/>
      <c r="E175" s="62"/>
      <c r="F175" s="148" t="s">
        <v>360</v>
      </c>
      <c r="G175" s="354" t="s">
        <v>361</v>
      </c>
      <c r="H175" s="355"/>
      <c r="I175" s="355"/>
      <c r="J175" s="355"/>
      <c r="K175" s="355"/>
      <c r="L175" s="355"/>
      <c r="M175" s="355"/>
      <c r="N175" s="355"/>
      <c r="O175" s="355"/>
      <c r="P175" s="355"/>
      <c r="Q175" s="355"/>
      <c r="R175" s="356"/>
      <c r="S175" s="70" t="s">
        <v>370</v>
      </c>
      <c r="T175" s="71"/>
      <c r="U175" s="41" t="s">
        <v>127</v>
      </c>
      <c r="V175" s="63"/>
    </row>
    <row r="176" spans="1:22" ht="28" customHeight="1">
      <c r="A176" s="61"/>
      <c r="B176" s="62"/>
      <c r="C176" s="62"/>
      <c r="D176" s="62"/>
      <c r="E176" s="62"/>
      <c r="F176" s="150" t="s">
        <v>363</v>
      </c>
      <c r="G176" s="354" t="s">
        <v>364</v>
      </c>
      <c r="H176" s="355"/>
      <c r="I176" s="355"/>
      <c r="J176" s="355"/>
      <c r="K176" s="355"/>
      <c r="L176" s="355"/>
      <c r="M176" s="355"/>
      <c r="N176" s="355"/>
      <c r="O176" s="355"/>
      <c r="P176" s="355"/>
      <c r="Q176" s="355"/>
      <c r="R176" s="356"/>
      <c r="S176" s="70"/>
      <c r="T176" s="71"/>
      <c r="U176" s="41" t="s">
        <v>127</v>
      </c>
      <c r="V176" s="63"/>
    </row>
    <row r="177" spans="1:22" ht="41.25" customHeight="1">
      <c r="A177" s="61"/>
      <c r="B177" s="62"/>
      <c r="C177" s="62"/>
      <c r="D177" s="62"/>
      <c r="E177" s="62"/>
      <c r="F177" s="148" t="s">
        <v>371</v>
      </c>
      <c r="G177" s="354" t="s">
        <v>372</v>
      </c>
      <c r="H177" s="355"/>
      <c r="I177" s="355"/>
      <c r="J177" s="355"/>
      <c r="K177" s="355"/>
      <c r="L177" s="355"/>
      <c r="M177" s="355"/>
      <c r="N177" s="355"/>
      <c r="O177" s="355"/>
      <c r="P177" s="355"/>
      <c r="Q177" s="355"/>
      <c r="R177" s="356"/>
      <c r="S177" s="70" t="s">
        <v>373</v>
      </c>
      <c r="T177" s="71"/>
      <c r="U177" s="41" t="s">
        <v>127</v>
      </c>
      <c r="V177" s="63"/>
    </row>
    <row r="178" spans="1:22" ht="84">
      <c r="A178" s="61"/>
      <c r="B178" s="62"/>
      <c r="C178" s="62"/>
      <c r="D178" s="62"/>
      <c r="E178" s="62"/>
      <c r="F178" s="148" t="s">
        <v>356</v>
      </c>
      <c r="G178" s="354">
        <v>3</v>
      </c>
      <c r="H178" s="355"/>
      <c r="I178" s="355"/>
      <c r="J178" s="355"/>
      <c r="K178" s="355"/>
      <c r="L178" s="355"/>
      <c r="M178" s="355"/>
      <c r="N178" s="355"/>
      <c r="O178" s="355"/>
      <c r="P178" s="355"/>
      <c r="Q178" s="355"/>
      <c r="R178" s="356"/>
      <c r="S178" s="70">
        <v>3</v>
      </c>
      <c r="T178" s="71"/>
      <c r="U178" s="41" t="s">
        <v>127</v>
      </c>
      <c r="V178" s="63"/>
    </row>
    <row r="179" spans="1:22" ht="29">
      <c r="A179" s="61"/>
      <c r="B179" s="62"/>
      <c r="C179" s="62"/>
      <c r="D179" s="62"/>
      <c r="E179" s="62"/>
      <c r="F179" s="148" t="s">
        <v>357</v>
      </c>
      <c r="G179" s="354" t="s">
        <v>374</v>
      </c>
      <c r="H179" s="355"/>
      <c r="I179" s="355"/>
      <c r="J179" s="355"/>
      <c r="K179" s="355"/>
      <c r="L179" s="355"/>
      <c r="M179" s="355"/>
      <c r="N179" s="355"/>
      <c r="O179" s="355"/>
      <c r="P179" s="355"/>
      <c r="Q179" s="355"/>
      <c r="R179" s="356"/>
      <c r="S179" s="70" t="s">
        <v>375</v>
      </c>
      <c r="T179" s="71"/>
      <c r="U179" s="41" t="s">
        <v>127</v>
      </c>
      <c r="V179" s="63"/>
    </row>
    <row r="180" spans="1:22" ht="28">
      <c r="A180" s="61"/>
      <c r="B180" s="62"/>
      <c r="C180" s="62"/>
      <c r="D180" s="62"/>
      <c r="E180" s="62"/>
      <c r="F180" s="148" t="s">
        <v>360</v>
      </c>
      <c r="G180" s="354" t="s">
        <v>370</v>
      </c>
      <c r="H180" s="355"/>
      <c r="I180" s="355"/>
      <c r="J180" s="355"/>
      <c r="K180" s="355"/>
      <c r="L180" s="355"/>
      <c r="M180" s="355"/>
      <c r="N180" s="355"/>
      <c r="O180" s="355"/>
      <c r="P180" s="355"/>
      <c r="Q180" s="355"/>
      <c r="R180" s="356"/>
      <c r="S180" s="70" t="s">
        <v>370</v>
      </c>
      <c r="T180" s="71"/>
      <c r="U180" s="41" t="s">
        <v>127</v>
      </c>
      <c r="V180" s="63"/>
    </row>
    <row r="181" spans="1:22" ht="28">
      <c r="A181" s="61"/>
      <c r="B181" s="62"/>
      <c r="C181" s="62"/>
      <c r="D181" s="62"/>
      <c r="E181" s="62"/>
      <c r="F181" s="150" t="s">
        <v>363</v>
      </c>
      <c r="G181" s="354" t="s">
        <v>376</v>
      </c>
      <c r="H181" s="355"/>
      <c r="I181" s="355"/>
      <c r="J181" s="355"/>
      <c r="K181" s="355"/>
      <c r="L181" s="355"/>
      <c r="M181" s="355"/>
      <c r="N181" s="355"/>
      <c r="O181" s="355"/>
      <c r="P181" s="355"/>
      <c r="Q181" s="355"/>
      <c r="R181" s="356"/>
      <c r="S181" s="70"/>
      <c r="T181" s="71"/>
      <c r="U181" s="41" t="s">
        <v>127</v>
      </c>
      <c r="V181" s="63"/>
    </row>
    <row r="182" spans="1:22" ht="42">
      <c r="A182" s="61"/>
      <c r="B182" s="62"/>
      <c r="C182" s="62"/>
      <c r="D182" s="62"/>
      <c r="E182" s="62"/>
      <c r="F182" s="148" t="s">
        <v>377</v>
      </c>
      <c r="G182" s="354" t="s">
        <v>378</v>
      </c>
      <c r="H182" s="355"/>
      <c r="I182" s="355"/>
      <c r="J182" s="355"/>
      <c r="K182" s="355"/>
      <c r="L182" s="355"/>
      <c r="M182" s="355"/>
      <c r="N182" s="355"/>
      <c r="O182" s="355"/>
      <c r="P182" s="355"/>
      <c r="Q182" s="355"/>
      <c r="R182" s="356"/>
      <c r="S182" s="70" t="s">
        <v>379</v>
      </c>
      <c r="T182" s="71"/>
      <c r="U182" s="41" t="s">
        <v>127</v>
      </c>
      <c r="V182" s="63"/>
    </row>
    <row r="183" spans="1:22" ht="84">
      <c r="A183" s="61"/>
      <c r="B183" s="62"/>
      <c r="C183" s="62"/>
      <c r="D183" s="62"/>
      <c r="E183" s="62"/>
      <c r="F183" s="148" t="s">
        <v>356</v>
      </c>
      <c r="G183" s="354">
        <v>3</v>
      </c>
      <c r="H183" s="355"/>
      <c r="I183" s="355"/>
      <c r="J183" s="355"/>
      <c r="K183" s="355"/>
      <c r="L183" s="355"/>
      <c r="M183" s="355"/>
      <c r="N183" s="355"/>
      <c r="O183" s="355"/>
      <c r="P183" s="355"/>
      <c r="Q183" s="355"/>
      <c r="R183" s="356"/>
      <c r="S183" s="70">
        <v>2</v>
      </c>
      <c r="T183" s="71"/>
      <c r="U183" s="41" t="s">
        <v>127</v>
      </c>
      <c r="V183" s="63"/>
    </row>
    <row r="184" spans="1:22" ht="33.75" customHeight="1">
      <c r="A184" s="61"/>
      <c r="B184" s="62"/>
      <c r="C184" s="62"/>
      <c r="D184" s="62"/>
      <c r="E184" s="62"/>
      <c r="F184" s="148" t="s">
        <v>357</v>
      </c>
      <c r="G184" s="354" t="s">
        <v>375</v>
      </c>
      <c r="H184" s="355"/>
      <c r="I184" s="355"/>
      <c r="J184" s="355"/>
      <c r="K184" s="355"/>
      <c r="L184" s="355"/>
      <c r="M184" s="355"/>
      <c r="N184" s="355"/>
      <c r="O184" s="355"/>
      <c r="P184" s="355"/>
      <c r="Q184" s="355"/>
      <c r="R184" s="356"/>
      <c r="S184" s="70" t="s">
        <v>380</v>
      </c>
      <c r="T184" s="71"/>
      <c r="U184" s="41" t="s">
        <v>127</v>
      </c>
      <c r="V184" s="63"/>
    </row>
    <row r="185" spans="1:22" ht="28">
      <c r="A185" s="61"/>
      <c r="B185" s="62"/>
      <c r="C185" s="62"/>
      <c r="D185" s="62"/>
      <c r="E185" s="62"/>
      <c r="F185" s="148" t="s">
        <v>360</v>
      </c>
      <c r="G185" s="354" t="s">
        <v>370</v>
      </c>
      <c r="H185" s="355"/>
      <c r="I185" s="355"/>
      <c r="J185" s="355"/>
      <c r="K185" s="355"/>
      <c r="L185" s="355"/>
      <c r="M185" s="355"/>
      <c r="N185" s="355"/>
      <c r="O185" s="355"/>
      <c r="P185" s="355"/>
      <c r="Q185" s="355"/>
      <c r="R185" s="356"/>
      <c r="S185" s="70" t="s">
        <v>381</v>
      </c>
      <c r="T185" s="71"/>
      <c r="U185" s="41" t="s">
        <v>127</v>
      </c>
      <c r="V185" s="63"/>
    </row>
    <row r="186" spans="1:22" ht="43.5">
      <c r="A186" s="61"/>
      <c r="B186" s="62"/>
      <c r="C186" s="62"/>
      <c r="D186" s="62"/>
      <c r="E186" s="62"/>
      <c r="F186" s="150" t="s">
        <v>363</v>
      </c>
      <c r="G186" s="354" t="s">
        <v>382</v>
      </c>
      <c r="H186" s="355"/>
      <c r="I186" s="355"/>
      <c r="J186" s="355"/>
      <c r="K186" s="355"/>
      <c r="L186" s="355"/>
      <c r="M186" s="355"/>
      <c r="N186" s="355"/>
      <c r="O186" s="355"/>
      <c r="P186" s="355"/>
      <c r="Q186" s="355"/>
      <c r="R186" s="356"/>
      <c r="S186" s="70" t="s">
        <v>383</v>
      </c>
      <c r="T186" s="71"/>
      <c r="U186" s="41" t="s">
        <v>127</v>
      </c>
      <c r="V186" s="63"/>
    </row>
    <row r="187" spans="1:22">
      <c r="A187" s="66"/>
      <c r="B187" s="66" t="s">
        <v>38</v>
      </c>
      <c r="C187" s="66"/>
      <c r="D187" s="66" t="b">
        <v>0</v>
      </c>
      <c r="E187" s="66" t="b">
        <v>1</v>
      </c>
      <c r="F187" s="65" t="s">
        <v>37</v>
      </c>
      <c r="G187" s="299"/>
      <c r="H187" s="300"/>
      <c r="I187" s="300"/>
      <c r="J187" s="300"/>
      <c r="K187" s="300"/>
      <c r="L187" s="300"/>
      <c r="M187" s="300"/>
      <c r="N187" s="300"/>
      <c r="O187" s="300"/>
      <c r="P187" s="300"/>
      <c r="Q187" s="300"/>
      <c r="R187" s="301"/>
      <c r="S187" s="152" t="s">
        <v>121</v>
      </c>
      <c r="T187" s="65"/>
      <c r="U187" s="66"/>
      <c r="V187" s="66"/>
    </row>
    <row r="188" spans="1:22" ht="33.75" customHeight="1">
      <c r="A188" s="61" t="b">
        <v>0</v>
      </c>
      <c r="B188" s="62" t="s">
        <v>38</v>
      </c>
      <c r="C188" s="62"/>
      <c r="D188" s="62" t="b">
        <v>1</v>
      </c>
      <c r="E188" s="62" t="b">
        <v>1</v>
      </c>
      <c r="F188" s="71"/>
      <c r="G188" s="284"/>
      <c r="H188" s="285"/>
      <c r="I188" s="285"/>
      <c r="J188" s="285"/>
      <c r="K188" s="285"/>
      <c r="L188" s="285"/>
      <c r="M188" s="285"/>
      <c r="N188" s="285"/>
      <c r="O188" s="285"/>
      <c r="P188" s="285"/>
      <c r="Q188" s="285"/>
      <c r="R188" s="286"/>
      <c r="S188" s="70" t="s">
        <v>287</v>
      </c>
      <c r="T188" s="71" t="s">
        <v>160</v>
      </c>
      <c r="U188" s="41" t="s">
        <v>20</v>
      </c>
      <c r="V188" s="99" t="s">
        <v>161</v>
      </c>
    </row>
    <row r="189" spans="1:22" ht="29">
      <c r="A189" s="61" t="b">
        <v>1</v>
      </c>
      <c r="B189" s="62" t="s">
        <v>38</v>
      </c>
      <c r="C189" s="62"/>
      <c r="D189" s="62" t="b">
        <v>1</v>
      </c>
      <c r="E189" s="62" t="b">
        <v>1</v>
      </c>
      <c r="F189" s="71"/>
      <c r="G189" s="284"/>
      <c r="H189" s="285"/>
      <c r="I189" s="285"/>
      <c r="J189" s="285"/>
      <c r="K189" s="285"/>
      <c r="L189" s="285"/>
      <c r="M189" s="285"/>
      <c r="N189" s="285"/>
      <c r="O189" s="285"/>
      <c r="P189" s="285"/>
      <c r="Q189" s="285"/>
      <c r="R189" s="286"/>
      <c r="S189" s="70" t="s">
        <v>384</v>
      </c>
      <c r="T189" s="71" t="s">
        <v>160</v>
      </c>
      <c r="U189" s="41" t="s">
        <v>20</v>
      </c>
      <c r="V189" s="99" t="s">
        <v>161</v>
      </c>
    </row>
    <row r="190" spans="1:22" ht="29">
      <c r="A190" s="61" t="b">
        <v>1</v>
      </c>
      <c r="B190" s="62" t="s">
        <v>38</v>
      </c>
      <c r="C190" s="62"/>
      <c r="D190" s="62" t="b">
        <v>1</v>
      </c>
      <c r="E190" s="62" t="b">
        <v>1</v>
      </c>
      <c r="F190" s="71"/>
      <c r="G190" s="284"/>
      <c r="H190" s="285"/>
      <c r="I190" s="285"/>
      <c r="J190" s="285"/>
      <c r="K190" s="285"/>
      <c r="L190" s="285"/>
      <c r="M190" s="285"/>
      <c r="N190" s="285"/>
      <c r="O190" s="285"/>
      <c r="P190" s="285"/>
      <c r="Q190" s="285"/>
      <c r="R190" s="286"/>
      <c r="S190" s="70" t="s">
        <v>335</v>
      </c>
      <c r="T190" s="71" t="s">
        <v>160</v>
      </c>
      <c r="U190" s="41" t="s">
        <v>20</v>
      </c>
      <c r="V190" s="99" t="s">
        <v>161</v>
      </c>
    </row>
    <row r="191" spans="1:22" ht="29">
      <c r="A191" s="61" t="b">
        <v>1</v>
      </c>
      <c r="B191" s="62" t="s">
        <v>38</v>
      </c>
      <c r="C191" s="62"/>
      <c r="D191" s="62" t="b">
        <v>1</v>
      </c>
      <c r="E191" s="62" t="b">
        <v>1</v>
      </c>
      <c r="F191" s="71"/>
      <c r="G191" s="284"/>
      <c r="H191" s="285"/>
      <c r="I191" s="285"/>
      <c r="J191" s="285"/>
      <c r="K191" s="285"/>
      <c r="L191" s="285"/>
      <c r="M191" s="285"/>
      <c r="N191" s="285"/>
      <c r="O191" s="285"/>
      <c r="P191" s="285"/>
      <c r="Q191" s="285"/>
      <c r="R191" s="286"/>
      <c r="S191" s="70" t="s">
        <v>385</v>
      </c>
      <c r="T191" s="71" t="s">
        <v>160</v>
      </c>
      <c r="U191" s="41" t="s">
        <v>20</v>
      </c>
      <c r="V191" s="99" t="s">
        <v>161</v>
      </c>
    </row>
    <row r="192" spans="1:22">
      <c r="A192" s="61"/>
      <c r="B192" s="62"/>
      <c r="C192" s="62"/>
      <c r="D192" s="62" t="b">
        <v>1</v>
      </c>
      <c r="E192" s="62" t="b">
        <v>1</v>
      </c>
      <c r="F192" s="71"/>
      <c r="G192" s="284"/>
      <c r="H192" s="285"/>
      <c r="I192" s="285"/>
      <c r="J192" s="285"/>
      <c r="K192" s="285"/>
      <c r="L192" s="285"/>
      <c r="M192" s="285"/>
      <c r="N192" s="285"/>
      <c r="O192" s="285"/>
      <c r="P192" s="285"/>
      <c r="Q192" s="285"/>
      <c r="R192" s="286"/>
      <c r="S192" s="70" t="s">
        <v>386</v>
      </c>
      <c r="T192" s="71"/>
      <c r="U192" s="41"/>
      <c r="V192" s="99"/>
    </row>
    <row r="193" spans="1:22">
      <c r="A193" s="61"/>
      <c r="B193" s="62"/>
      <c r="C193" s="62"/>
      <c r="D193" s="62"/>
      <c r="E193" s="62"/>
      <c r="F193" s="71"/>
      <c r="G193" s="284"/>
      <c r="H193" s="285"/>
      <c r="I193" s="285"/>
      <c r="J193" s="285"/>
      <c r="K193" s="285"/>
      <c r="L193" s="285"/>
      <c r="M193" s="285"/>
      <c r="N193" s="285"/>
      <c r="O193" s="285"/>
      <c r="P193" s="285"/>
      <c r="Q193" s="285"/>
      <c r="R193" s="286"/>
      <c r="S193" s="70"/>
      <c r="T193" s="71"/>
      <c r="U193" s="41"/>
      <c r="V193" s="99"/>
    </row>
    <row r="194" spans="1:22" ht="29">
      <c r="A194" s="52" t="s">
        <v>4</v>
      </c>
      <c r="B194" s="52" t="s">
        <v>5</v>
      </c>
      <c r="C194" s="52" t="s">
        <v>6</v>
      </c>
      <c r="D194" s="52" t="s">
        <v>113</v>
      </c>
      <c r="E194" s="52" t="s">
        <v>114</v>
      </c>
      <c r="F194" s="52" t="s">
        <v>9</v>
      </c>
      <c r="G194" s="287" t="s">
        <v>10</v>
      </c>
      <c r="H194" s="288"/>
      <c r="I194" s="288"/>
      <c r="J194" s="288"/>
      <c r="K194" s="288"/>
      <c r="L194" s="288"/>
      <c r="M194" s="288"/>
      <c r="N194" s="288"/>
      <c r="O194" s="288"/>
      <c r="P194" s="288"/>
      <c r="Q194" s="288"/>
      <c r="R194" s="289"/>
      <c r="S194" s="151"/>
      <c r="T194" s="52" t="s">
        <v>12</v>
      </c>
      <c r="U194" s="16" t="s">
        <v>13</v>
      </c>
      <c r="V194" s="16" t="s">
        <v>14</v>
      </c>
    </row>
    <row r="195" spans="1:22">
      <c r="A195" s="55"/>
      <c r="B195" s="56" t="s">
        <v>15</v>
      </c>
      <c r="C195" s="56"/>
      <c r="D195" s="56" t="b">
        <v>0</v>
      </c>
      <c r="E195" s="56" t="b">
        <v>1</v>
      </c>
      <c r="F195" s="56"/>
      <c r="G195" s="290" t="s">
        <v>387</v>
      </c>
      <c r="H195" s="291"/>
      <c r="I195" s="291"/>
      <c r="J195" s="291"/>
      <c r="K195" s="291"/>
      <c r="L195" s="291"/>
      <c r="M195" s="291"/>
      <c r="N195" s="291"/>
      <c r="O195" s="291"/>
      <c r="P195" s="291"/>
      <c r="Q195" s="291"/>
      <c r="R195" s="292"/>
      <c r="S195" s="72"/>
      <c r="T195" s="56"/>
      <c r="U195" s="57"/>
      <c r="V195" s="57"/>
    </row>
    <row r="196" spans="1:22">
      <c r="A196" s="58"/>
      <c r="B196" s="59" t="s">
        <v>17</v>
      </c>
      <c r="C196" s="59"/>
      <c r="D196" s="59" t="b">
        <v>0</v>
      </c>
      <c r="E196" s="59" t="b">
        <v>1</v>
      </c>
      <c r="F196" s="59" t="s">
        <v>18</v>
      </c>
      <c r="G196" s="293" t="s">
        <v>388</v>
      </c>
      <c r="H196" s="294"/>
      <c r="I196" s="294"/>
      <c r="J196" s="294"/>
      <c r="K196" s="294"/>
      <c r="L196" s="294"/>
      <c r="M196" s="294"/>
      <c r="N196" s="294"/>
      <c r="O196" s="294"/>
      <c r="P196" s="294"/>
      <c r="Q196" s="294"/>
      <c r="R196" s="295"/>
      <c r="S196" s="73"/>
      <c r="T196" s="135" t="s">
        <v>389</v>
      </c>
      <c r="U196" s="41" t="s">
        <v>20</v>
      </c>
      <c r="V196" s="60"/>
    </row>
    <row r="197" spans="1:22" hidden="1">
      <c r="A197" s="61" t="b">
        <v>1</v>
      </c>
      <c r="B197" s="62" t="s">
        <v>21</v>
      </c>
      <c r="C197" s="62"/>
      <c r="D197" s="62" t="b">
        <v>0</v>
      </c>
      <c r="E197" s="62" t="b">
        <v>1</v>
      </c>
      <c r="F197" s="71" t="s">
        <v>22</v>
      </c>
      <c r="G197" s="54" t="s">
        <v>57</v>
      </c>
      <c r="H197" s="54"/>
      <c r="I197" s="54"/>
      <c r="J197" s="54"/>
      <c r="K197" s="54"/>
      <c r="L197" s="54"/>
      <c r="M197" s="54"/>
      <c r="N197" s="54"/>
      <c r="O197" s="54"/>
      <c r="P197" s="54"/>
      <c r="Q197" s="54"/>
      <c r="R197" s="54"/>
      <c r="S197" s="70"/>
      <c r="T197" s="71"/>
      <c r="U197" s="54"/>
      <c r="V197" s="63"/>
    </row>
    <row r="198" spans="1:22" hidden="1">
      <c r="A198" s="61" t="b">
        <v>0</v>
      </c>
      <c r="B198" s="62" t="s">
        <v>24</v>
      </c>
      <c r="C198" s="62"/>
      <c r="D198" s="62" t="b">
        <v>0</v>
      </c>
      <c r="E198" s="62" t="b">
        <v>1</v>
      </c>
      <c r="F198" s="71" t="s">
        <v>25</v>
      </c>
      <c r="G198" s="54">
        <v>1</v>
      </c>
      <c r="H198" s="54"/>
      <c r="I198" s="54"/>
      <c r="J198" s="54"/>
      <c r="K198" s="54"/>
      <c r="L198" s="54"/>
      <c r="M198" s="54"/>
      <c r="N198" s="54"/>
      <c r="O198" s="54"/>
      <c r="P198" s="54"/>
      <c r="Q198" s="54"/>
      <c r="R198" s="54"/>
      <c r="S198" s="70"/>
      <c r="T198" s="71"/>
      <c r="U198" s="54"/>
      <c r="V198" s="63"/>
    </row>
    <row r="199" spans="1:22" hidden="1">
      <c r="A199" s="61" t="b">
        <v>0</v>
      </c>
      <c r="B199" s="62" t="s">
        <v>26</v>
      </c>
      <c r="C199" s="62"/>
      <c r="D199" s="62" t="b">
        <v>0</v>
      </c>
      <c r="E199" s="62" t="b">
        <v>1</v>
      </c>
      <c r="F199" s="71" t="s">
        <v>27</v>
      </c>
      <c r="G199" s="54"/>
      <c r="H199" s="54"/>
      <c r="I199" s="54"/>
      <c r="J199" s="54"/>
      <c r="K199" s="54"/>
      <c r="L199" s="54"/>
      <c r="M199" s="54"/>
      <c r="N199" s="54"/>
      <c r="O199" s="54"/>
      <c r="P199" s="54"/>
      <c r="Q199" s="54"/>
      <c r="R199" s="54"/>
      <c r="S199" s="70"/>
      <c r="T199" s="71"/>
      <c r="U199" s="54"/>
      <c r="V199" s="63"/>
    </row>
    <row r="200" spans="1:22" ht="13.5" hidden="1" customHeight="1">
      <c r="A200" s="61" t="b">
        <v>1</v>
      </c>
      <c r="B200" s="62" t="s">
        <v>28</v>
      </c>
      <c r="C200" s="62"/>
      <c r="D200" s="62" t="b">
        <v>0</v>
      </c>
      <c r="E200" s="62" t="b">
        <v>1</v>
      </c>
      <c r="F200" s="71" t="s">
        <v>47</v>
      </c>
      <c r="G200" s="54"/>
      <c r="H200" s="54"/>
      <c r="I200" s="54"/>
      <c r="J200" s="54"/>
      <c r="K200" s="54"/>
      <c r="L200" s="54"/>
      <c r="M200" s="54"/>
      <c r="N200" s="54"/>
      <c r="O200" s="54"/>
      <c r="P200" s="54"/>
      <c r="Q200" s="54"/>
      <c r="R200" s="54"/>
      <c r="S200" s="70"/>
      <c r="T200" s="71"/>
      <c r="U200" s="54"/>
      <c r="V200" s="63"/>
    </row>
    <row r="201" spans="1:22" hidden="1">
      <c r="A201" s="65"/>
      <c r="B201" s="65" t="s">
        <v>31</v>
      </c>
      <c r="C201" s="65"/>
      <c r="D201" s="65" t="b">
        <v>0</v>
      </c>
      <c r="E201" s="65" t="b">
        <v>1</v>
      </c>
      <c r="F201" s="65" t="s">
        <v>32</v>
      </c>
      <c r="G201" s="65"/>
      <c r="H201" s="65"/>
      <c r="I201" s="65"/>
      <c r="J201" s="65"/>
      <c r="K201" s="65"/>
      <c r="L201" s="65"/>
      <c r="M201" s="65"/>
      <c r="N201" s="65"/>
      <c r="O201" s="65"/>
      <c r="P201" s="65"/>
      <c r="Q201" s="65"/>
      <c r="R201" s="65"/>
      <c r="S201" s="152" t="s">
        <v>121</v>
      </c>
      <c r="T201" s="65"/>
      <c r="U201" s="65"/>
      <c r="V201" s="65"/>
    </row>
    <row r="202" spans="1:22">
      <c r="A202" s="61" t="b">
        <v>1</v>
      </c>
      <c r="B202" s="62" t="s">
        <v>35</v>
      </c>
      <c r="C202" s="62"/>
      <c r="D202" s="62" t="b">
        <v>0</v>
      </c>
      <c r="E202" s="62" t="b">
        <v>1</v>
      </c>
      <c r="F202" s="71" t="s">
        <v>390</v>
      </c>
      <c r="G202" s="323" t="s">
        <v>391</v>
      </c>
      <c r="H202" s="324"/>
      <c r="I202" s="324"/>
      <c r="J202" s="324"/>
      <c r="K202" s="324"/>
      <c r="L202" s="324"/>
      <c r="M202" s="324"/>
      <c r="N202" s="324"/>
      <c r="O202" s="324"/>
      <c r="P202" s="324"/>
      <c r="Q202" s="324"/>
      <c r="R202" s="325"/>
      <c r="S202" s="70"/>
      <c r="T202" s="71" t="s">
        <v>153</v>
      </c>
      <c r="U202" s="41" t="s">
        <v>20</v>
      </c>
      <c r="V202" s="63"/>
    </row>
    <row r="203" spans="1:22" ht="29">
      <c r="A203" s="61" t="b">
        <v>1</v>
      </c>
      <c r="B203" s="62" t="s">
        <v>35</v>
      </c>
      <c r="C203" s="62"/>
      <c r="D203" s="62" t="b">
        <v>1</v>
      </c>
      <c r="E203" s="62" t="b">
        <v>1</v>
      </c>
      <c r="F203" s="71" t="s">
        <v>392</v>
      </c>
      <c r="G203" s="335"/>
      <c r="H203" s="336"/>
      <c r="I203" s="336"/>
      <c r="J203" s="336"/>
      <c r="K203" s="336"/>
      <c r="L203" s="336"/>
      <c r="M203" s="336"/>
      <c r="N203" s="336"/>
      <c r="O203" s="336"/>
      <c r="P203" s="336"/>
      <c r="Q203" s="336"/>
      <c r="R203" s="337"/>
      <c r="S203" s="70" t="s">
        <v>393</v>
      </c>
      <c r="T203" s="71" t="s">
        <v>153</v>
      </c>
      <c r="U203" s="41" t="s">
        <v>20</v>
      </c>
      <c r="V203" s="63"/>
    </row>
    <row r="204" spans="1:22" ht="29">
      <c r="A204" s="61" t="b">
        <v>1</v>
      </c>
      <c r="B204" s="62" t="s">
        <v>35</v>
      </c>
      <c r="C204" s="62"/>
      <c r="D204" s="62" t="b">
        <v>1</v>
      </c>
      <c r="E204" s="62" t="b">
        <v>1</v>
      </c>
      <c r="F204" s="71" t="s">
        <v>394</v>
      </c>
      <c r="G204" s="335"/>
      <c r="H204" s="336"/>
      <c r="I204" s="336"/>
      <c r="J204" s="336"/>
      <c r="K204" s="336"/>
      <c r="L204" s="336"/>
      <c r="M204" s="336"/>
      <c r="N204" s="336"/>
      <c r="O204" s="336"/>
      <c r="P204" s="336"/>
      <c r="Q204" s="336"/>
      <c r="R204" s="337"/>
      <c r="S204" s="70" t="s">
        <v>395</v>
      </c>
      <c r="T204" s="71" t="s">
        <v>153</v>
      </c>
      <c r="U204" s="41" t="s">
        <v>20</v>
      </c>
      <c r="V204" s="63"/>
    </row>
    <row r="205" spans="1:22" ht="29">
      <c r="A205" s="61" t="b">
        <v>1</v>
      </c>
      <c r="B205" s="62" t="s">
        <v>35</v>
      </c>
      <c r="C205" s="62"/>
      <c r="D205" s="62" t="b">
        <v>1</v>
      </c>
      <c r="E205" s="62" t="b">
        <v>1</v>
      </c>
      <c r="F205" s="71" t="s">
        <v>396</v>
      </c>
      <c r="G205" s="335"/>
      <c r="H205" s="336"/>
      <c r="I205" s="336"/>
      <c r="J205" s="336"/>
      <c r="K205" s="336"/>
      <c r="L205" s="336"/>
      <c r="M205" s="336"/>
      <c r="N205" s="336"/>
      <c r="O205" s="336"/>
      <c r="P205" s="336"/>
      <c r="Q205" s="336"/>
      <c r="R205" s="337"/>
      <c r="S205" s="70" t="s">
        <v>397</v>
      </c>
      <c r="T205" s="71" t="s">
        <v>153</v>
      </c>
      <c r="U205" s="41" t="s">
        <v>20</v>
      </c>
      <c r="V205" s="63"/>
    </row>
    <row r="206" spans="1:22" ht="29">
      <c r="A206" s="61" t="b">
        <v>1</v>
      </c>
      <c r="B206" s="62" t="s">
        <v>35</v>
      </c>
      <c r="C206" s="62"/>
      <c r="D206" s="62" t="b">
        <v>1</v>
      </c>
      <c r="E206" s="62" t="b">
        <v>1</v>
      </c>
      <c r="F206" s="71" t="s">
        <v>398</v>
      </c>
      <c r="G206" s="314"/>
      <c r="H206" s="315"/>
      <c r="I206" s="315"/>
      <c r="J206" s="315"/>
      <c r="K206" s="315"/>
      <c r="L206" s="315"/>
      <c r="M206" s="315"/>
      <c r="N206" s="315"/>
      <c r="O206" s="315"/>
      <c r="P206" s="315"/>
      <c r="Q206" s="315"/>
      <c r="R206" s="316"/>
      <c r="S206" s="70" t="s">
        <v>399</v>
      </c>
      <c r="T206" s="71" t="s">
        <v>153</v>
      </c>
      <c r="U206" s="41" t="s">
        <v>20</v>
      </c>
      <c r="V206" s="63"/>
    </row>
    <row r="207" spans="1:22" ht="29">
      <c r="A207" s="61" t="b">
        <v>1</v>
      </c>
      <c r="B207" s="62" t="s">
        <v>35</v>
      </c>
      <c r="C207" s="62"/>
      <c r="D207" s="62" t="b">
        <v>1</v>
      </c>
      <c r="E207" s="62" t="b">
        <v>1</v>
      </c>
      <c r="F207" s="71" t="s">
        <v>400</v>
      </c>
      <c r="G207" s="314"/>
      <c r="H207" s="315"/>
      <c r="I207" s="315"/>
      <c r="J207" s="315"/>
      <c r="K207" s="315"/>
      <c r="L207" s="315"/>
      <c r="M207" s="315"/>
      <c r="N207" s="315"/>
      <c r="O207" s="315"/>
      <c r="P207" s="315"/>
      <c r="Q207" s="315"/>
      <c r="R207" s="316"/>
      <c r="S207" s="70" t="s">
        <v>401</v>
      </c>
      <c r="T207" s="71" t="s">
        <v>153</v>
      </c>
      <c r="U207" s="41" t="s">
        <v>20</v>
      </c>
      <c r="V207" s="63"/>
    </row>
    <row r="208" spans="1:22" ht="29">
      <c r="A208" s="61" t="b">
        <v>1</v>
      </c>
      <c r="B208" s="62" t="s">
        <v>35</v>
      </c>
      <c r="C208" s="62"/>
      <c r="D208" s="62" t="b">
        <v>1</v>
      </c>
      <c r="E208" s="62" t="b">
        <v>1</v>
      </c>
      <c r="F208" s="71" t="s">
        <v>402</v>
      </c>
      <c r="G208" s="314"/>
      <c r="H208" s="315"/>
      <c r="I208" s="315"/>
      <c r="J208" s="315"/>
      <c r="K208" s="315"/>
      <c r="L208" s="315"/>
      <c r="M208" s="315"/>
      <c r="N208" s="315"/>
      <c r="O208" s="315"/>
      <c r="P208" s="315"/>
      <c r="Q208" s="315"/>
      <c r="R208" s="316"/>
      <c r="S208" s="70" t="s">
        <v>403</v>
      </c>
      <c r="T208" s="71" t="s">
        <v>153</v>
      </c>
      <c r="U208" s="41" t="s">
        <v>20</v>
      </c>
      <c r="V208" s="63"/>
    </row>
    <row r="209" spans="1:22">
      <c r="A209" s="61" t="b">
        <v>1</v>
      </c>
      <c r="B209" s="62" t="s">
        <v>33</v>
      </c>
      <c r="C209" s="62"/>
      <c r="D209" s="62" t="b">
        <v>0</v>
      </c>
      <c r="E209" s="62" t="b">
        <v>1</v>
      </c>
      <c r="F209" s="71" t="s">
        <v>34</v>
      </c>
      <c r="G209" s="323" t="s">
        <v>404</v>
      </c>
      <c r="H209" s="324"/>
      <c r="I209" s="324"/>
      <c r="J209" s="324"/>
      <c r="K209" s="324"/>
      <c r="L209" s="324"/>
      <c r="M209" s="324"/>
      <c r="N209" s="324"/>
      <c r="O209" s="324"/>
      <c r="P209" s="324"/>
      <c r="Q209" s="324"/>
      <c r="R209" s="325"/>
      <c r="S209" s="70"/>
      <c r="T209" s="71" t="s">
        <v>153</v>
      </c>
      <c r="U209" s="41" t="s">
        <v>127</v>
      </c>
      <c r="V209" s="63"/>
    </row>
    <row r="210" spans="1:22" ht="29">
      <c r="A210" s="61" t="b">
        <v>1</v>
      </c>
      <c r="B210" s="62" t="s">
        <v>35</v>
      </c>
      <c r="C210" s="62"/>
      <c r="D210" s="62" t="b">
        <v>1</v>
      </c>
      <c r="E210" s="62" t="b">
        <v>1</v>
      </c>
      <c r="F210" s="71" t="s">
        <v>405</v>
      </c>
      <c r="G210" s="357" t="s">
        <v>406</v>
      </c>
      <c r="H210" s="358"/>
      <c r="I210" s="358"/>
      <c r="J210" s="358"/>
      <c r="K210" s="358"/>
      <c r="L210" s="358"/>
      <c r="M210" s="358"/>
      <c r="N210" s="358"/>
      <c r="O210" s="358"/>
      <c r="P210" s="358"/>
      <c r="Q210" s="358"/>
      <c r="R210" s="359"/>
      <c r="S210" s="70" t="s">
        <v>407</v>
      </c>
      <c r="T210" s="71" t="s">
        <v>153</v>
      </c>
      <c r="U210" s="41" t="s">
        <v>127</v>
      </c>
      <c r="V210" s="63"/>
    </row>
    <row r="211" spans="1:22" ht="29">
      <c r="A211" s="61" t="b">
        <v>1</v>
      </c>
      <c r="B211" s="62" t="s">
        <v>35</v>
      </c>
      <c r="C211" s="62"/>
      <c r="D211" s="62" t="b">
        <v>1</v>
      </c>
      <c r="E211" s="62" t="b">
        <v>1</v>
      </c>
      <c r="F211" s="71" t="s">
        <v>408</v>
      </c>
      <c r="G211" s="357" t="s">
        <v>409</v>
      </c>
      <c r="H211" s="358"/>
      <c r="I211" s="358"/>
      <c r="J211" s="358"/>
      <c r="K211" s="358"/>
      <c r="L211" s="358"/>
      <c r="M211" s="358"/>
      <c r="N211" s="358"/>
      <c r="O211" s="358"/>
      <c r="P211" s="358"/>
      <c r="Q211" s="358"/>
      <c r="R211" s="359"/>
      <c r="S211" s="70" t="s">
        <v>410</v>
      </c>
      <c r="T211" s="71" t="s">
        <v>153</v>
      </c>
      <c r="U211" s="41" t="s">
        <v>127</v>
      </c>
      <c r="V211" s="63"/>
    </row>
    <row r="212" spans="1:22" ht="29">
      <c r="A212" s="61"/>
      <c r="B212" s="62"/>
      <c r="C212" s="62"/>
      <c r="D212" s="62"/>
      <c r="E212" s="62"/>
      <c r="F212" s="71" t="s">
        <v>411</v>
      </c>
      <c r="G212" s="278" t="s">
        <v>412</v>
      </c>
      <c r="H212" s="279"/>
      <c r="I212" s="279"/>
      <c r="J212" s="279"/>
      <c r="K212" s="279"/>
      <c r="L212" s="279"/>
      <c r="M212" s="279"/>
      <c r="N212" s="279"/>
      <c r="O212" s="279"/>
      <c r="P212" s="279"/>
      <c r="Q212" s="279"/>
      <c r="R212" s="280"/>
      <c r="S212" s="70"/>
      <c r="T212" s="71"/>
      <c r="U212" s="41" t="s">
        <v>127</v>
      </c>
      <c r="V212" s="63"/>
    </row>
    <row r="213" spans="1:22" ht="29">
      <c r="A213" s="61" t="b">
        <v>1</v>
      </c>
      <c r="B213" s="62" t="s">
        <v>35</v>
      </c>
      <c r="C213" s="62"/>
      <c r="D213" s="62" t="b">
        <v>1</v>
      </c>
      <c r="E213" s="62" t="b">
        <v>1</v>
      </c>
      <c r="F213" s="71" t="s">
        <v>413</v>
      </c>
      <c r="G213" s="357" t="s">
        <v>414</v>
      </c>
      <c r="H213" s="358"/>
      <c r="I213" s="358"/>
      <c r="J213" s="358"/>
      <c r="K213" s="358"/>
      <c r="L213" s="358"/>
      <c r="M213" s="358"/>
      <c r="N213" s="358"/>
      <c r="O213" s="358"/>
      <c r="P213" s="358"/>
      <c r="Q213" s="358"/>
      <c r="R213" s="359"/>
      <c r="S213" s="70" t="s">
        <v>415</v>
      </c>
      <c r="T213" s="71" t="s">
        <v>153</v>
      </c>
      <c r="U213" s="41" t="s">
        <v>127</v>
      </c>
      <c r="V213" s="63"/>
    </row>
    <row r="214" spans="1:22" ht="29">
      <c r="A214" s="61" t="b">
        <v>1</v>
      </c>
      <c r="B214" s="62" t="s">
        <v>35</v>
      </c>
      <c r="C214" s="62"/>
      <c r="D214" s="62" t="b">
        <v>1</v>
      </c>
      <c r="E214" s="62" t="b">
        <v>1</v>
      </c>
      <c r="F214" s="71" t="s">
        <v>416</v>
      </c>
      <c r="G214" s="278" t="s">
        <v>417</v>
      </c>
      <c r="H214" s="279"/>
      <c r="I214" s="279"/>
      <c r="J214" s="279"/>
      <c r="K214" s="279"/>
      <c r="L214" s="279"/>
      <c r="M214" s="279"/>
      <c r="N214" s="279"/>
      <c r="O214" s="279"/>
      <c r="P214" s="279"/>
      <c r="Q214" s="279"/>
      <c r="R214" s="280"/>
      <c r="S214" s="70" t="s">
        <v>418</v>
      </c>
      <c r="T214" s="71" t="s">
        <v>153</v>
      </c>
      <c r="U214" s="41" t="s">
        <v>127</v>
      </c>
      <c r="V214" s="63"/>
    </row>
    <row r="215" spans="1:22" ht="29">
      <c r="A215" s="61" t="b">
        <v>1</v>
      </c>
      <c r="B215" s="62" t="s">
        <v>35</v>
      </c>
      <c r="C215" s="62"/>
      <c r="D215" s="62" t="b">
        <v>1</v>
      </c>
      <c r="E215" s="62" t="b">
        <v>1</v>
      </c>
      <c r="F215" s="71" t="s">
        <v>419</v>
      </c>
      <c r="G215" s="314" t="s">
        <v>420</v>
      </c>
      <c r="H215" s="315"/>
      <c r="I215" s="315"/>
      <c r="J215" s="315"/>
      <c r="K215" s="315"/>
      <c r="L215" s="315"/>
      <c r="M215" s="315"/>
      <c r="N215" s="315"/>
      <c r="O215" s="315"/>
      <c r="P215" s="315"/>
      <c r="Q215" s="315"/>
      <c r="R215" s="316"/>
      <c r="S215" s="70" t="s">
        <v>421</v>
      </c>
      <c r="T215" s="71" t="s">
        <v>153</v>
      </c>
      <c r="U215" s="41" t="s">
        <v>127</v>
      </c>
      <c r="V215" s="63"/>
    </row>
    <row r="216" spans="1:22" ht="30.75" customHeight="1">
      <c r="A216" s="61" t="b">
        <v>1</v>
      </c>
      <c r="B216" s="62" t="s">
        <v>35</v>
      </c>
      <c r="C216" s="62"/>
      <c r="D216" s="62" t="b">
        <v>1</v>
      </c>
      <c r="E216" s="62" t="b">
        <v>1</v>
      </c>
      <c r="F216" s="71" t="s">
        <v>422</v>
      </c>
      <c r="G216" s="278" t="s">
        <v>423</v>
      </c>
      <c r="H216" s="279"/>
      <c r="I216" s="279"/>
      <c r="J216" s="279"/>
      <c r="K216" s="279"/>
      <c r="L216" s="279"/>
      <c r="M216" s="279"/>
      <c r="N216" s="279"/>
      <c r="O216" s="279"/>
      <c r="P216" s="279"/>
      <c r="Q216" s="279"/>
      <c r="R216" s="280"/>
      <c r="S216" s="70" t="s">
        <v>424</v>
      </c>
      <c r="T216" s="71" t="s">
        <v>153</v>
      </c>
      <c r="U216" s="41" t="s">
        <v>127</v>
      </c>
      <c r="V216" s="63"/>
    </row>
    <row r="217" spans="1:22" ht="30.75" customHeight="1">
      <c r="A217" s="61" t="b">
        <v>1</v>
      </c>
      <c r="B217" s="62" t="s">
        <v>35</v>
      </c>
      <c r="C217" s="62"/>
      <c r="D217" s="62" t="b">
        <v>1</v>
      </c>
      <c r="E217" s="62" t="b">
        <v>1</v>
      </c>
      <c r="F217" s="71" t="s">
        <v>425</v>
      </c>
      <c r="G217" s="314" t="s">
        <v>426</v>
      </c>
      <c r="H217" s="315"/>
      <c r="I217" s="315"/>
      <c r="J217" s="315"/>
      <c r="K217" s="315"/>
      <c r="L217" s="315"/>
      <c r="M217" s="315"/>
      <c r="N217" s="315"/>
      <c r="O217" s="315"/>
      <c r="P217" s="315"/>
      <c r="Q217" s="315"/>
      <c r="R217" s="316"/>
      <c r="S217" s="70" t="s">
        <v>427</v>
      </c>
      <c r="T217" s="71" t="s">
        <v>153</v>
      </c>
      <c r="U217" s="41" t="s">
        <v>127</v>
      </c>
      <c r="V217" s="63"/>
    </row>
    <row r="218" spans="1:22" ht="29">
      <c r="A218" s="61" t="b">
        <v>1</v>
      </c>
      <c r="B218" s="62" t="s">
        <v>35</v>
      </c>
      <c r="C218" s="62"/>
      <c r="D218" s="62" t="b">
        <v>1</v>
      </c>
      <c r="E218" s="62" t="b">
        <v>1</v>
      </c>
      <c r="F218" s="71" t="s">
        <v>428</v>
      </c>
      <c r="G218" s="314"/>
      <c r="H218" s="315"/>
      <c r="I218" s="315"/>
      <c r="J218" s="315"/>
      <c r="K218" s="315"/>
      <c r="L218" s="315"/>
      <c r="M218" s="315"/>
      <c r="N218" s="315"/>
      <c r="O218" s="315"/>
      <c r="P218" s="315"/>
      <c r="Q218" s="315"/>
      <c r="R218" s="316"/>
      <c r="S218" s="70" t="s">
        <v>429</v>
      </c>
      <c r="T218" s="71" t="s">
        <v>153</v>
      </c>
      <c r="U218" s="41" t="s">
        <v>20</v>
      </c>
      <c r="V218" s="63"/>
    </row>
    <row r="219" spans="1:22" ht="29">
      <c r="A219" s="61" t="b">
        <v>1</v>
      </c>
      <c r="B219" s="62" t="s">
        <v>35</v>
      </c>
      <c r="C219" s="62"/>
      <c r="D219" s="62" t="b">
        <v>1</v>
      </c>
      <c r="E219" s="62" t="b">
        <v>1</v>
      </c>
      <c r="F219" s="71" t="s">
        <v>430</v>
      </c>
      <c r="G219" s="314"/>
      <c r="H219" s="315"/>
      <c r="I219" s="315"/>
      <c r="J219" s="315"/>
      <c r="K219" s="315"/>
      <c r="L219" s="315"/>
      <c r="M219" s="315"/>
      <c r="N219" s="315"/>
      <c r="O219" s="315"/>
      <c r="P219" s="315"/>
      <c r="Q219" s="315"/>
      <c r="R219" s="316"/>
      <c r="S219" s="70" t="s">
        <v>431</v>
      </c>
      <c r="T219" s="71" t="s">
        <v>153</v>
      </c>
      <c r="U219" s="41" t="s">
        <v>20</v>
      </c>
      <c r="V219" s="63"/>
    </row>
    <row r="220" spans="1:22" ht="29">
      <c r="A220" s="61" t="b">
        <v>1</v>
      </c>
      <c r="B220" s="62" t="s">
        <v>35</v>
      </c>
      <c r="C220" s="62"/>
      <c r="D220" s="62" t="b">
        <v>1</v>
      </c>
      <c r="E220" s="62" t="b">
        <v>1</v>
      </c>
      <c r="F220" s="71" t="s">
        <v>432</v>
      </c>
      <c r="G220" s="314"/>
      <c r="H220" s="315"/>
      <c r="I220" s="315"/>
      <c r="J220" s="315"/>
      <c r="K220" s="315"/>
      <c r="L220" s="315"/>
      <c r="M220" s="315"/>
      <c r="N220" s="315"/>
      <c r="O220" s="315"/>
      <c r="P220" s="315"/>
      <c r="Q220" s="315"/>
      <c r="R220" s="316"/>
      <c r="S220" s="70"/>
      <c r="T220" s="71" t="s">
        <v>153</v>
      </c>
      <c r="U220" s="41" t="s">
        <v>20</v>
      </c>
      <c r="V220" s="63"/>
    </row>
    <row r="221" spans="1:22" ht="29">
      <c r="A221" s="61" t="b">
        <v>1</v>
      </c>
      <c r="B221" s="62" t="s">
        <v>35</v>
      </c>
      <c r="C221" s="62"/>
      <c r="D221" s="62" t="b">
        <v>1</v>
      </c>
      <c r="E221" s="62" t="b">
        <v>1</v>
      </c>
      <c r="F221" s="71" t="s">
        <v>433</v>
      </c>
      <c r="G221" s="314"/>
      <c r="H221" s="315"/>
      <c r="I221" s="315"/>
      <c r="J221" s="315"/>
      <c r="K221" s="315"/>
      <c r="L221" s="315"/>
      <c r="M221" s="315"/>
      <c r="N221" s="315"/>
      <c r="O221" s="315"/>
      <c r="P221" s="315"/>
      <c r="Q221" s="315"/>
      <c r="R221" s="316"/>
      <c r="S221" s="70"/>
      <c r="T221" s="71" t="s">
        <v>153</v>
      </c>
      <c r="U221" s="41" t="s">
        <v>20</v>
      </c>
      <c r="V221" s="63"/>
    </row>
    <row r="222" spans="1:22" ht="29">
      <c r="A222" s="61" t="b">
        <v>1</v>
      </c>
      <c r="B222" s="62" t="s">
        <v>35</v>
      </c>
      <c r="C222" s="62"/>
      <c r="D222" s="62" t="b">
        <v>1</v>
      </c>
      <c r="E222" s="62" t="b">
        <v>1</v>
      </c>
      <c r="F222" s="71" t="s">
        <v>434</v>
      </c>
      <c r="G222" s="314"/>
      <c r="H222" s="315"/>
      <c r="I222" s="315"/>
      <c r="J222" s="315"/>
      <c r="K222" s="315"/>
      <c r="L222" s="315"/>
      <c r="M222" s="315"/>
      <c r="N222" s="315"/>
      <c r="O222" s="315"/>
      <c r="P222" s="315"/>
      <c r="Q222" s="315"/>
      <c r="R222" s="316"/>
      <c r="S222" s="70"/>
      <c r="T222" s="71" t="s">
        <v>153</v>
      </c>
      <c r="U222" s="41" t="s">
        <v>20</v>
      </c>
      <c r="V222" s="63"/>
    </row>
    <row r="223" spans="1:22">
      <c r="A223" s="65" t="b">
        <v>1</v>
      </c>
      <c r="B223" s="65" t="s">
        <v>36</v>
      </c>
      <c r="C223" s="65"/>
      <c r="D223" s="65" t="b">
        <v>0</v>
      </c>
      <c r="E223" s="65" t="b">
        <v>1</v>
      </c>
      <c r="F223" s="65" t="s">
        <v>37</v>
      </c>
      <c r="G223" s="360"/>
      <c r="H223" s="361"/>
      <c r="I223" s="361"/>
      <c r="J223" s="361"/>
      <c r="K223" s="361"/>
      <c r="L223" s="361"/>
      <c r="M223" s="361"/>
      <c r="N223" s="361"/>
      <c r="O223" s="361"/>
      <c r="P223" s="361"/>
      <c r="Q223" s="361"/>
      <c r="R223" s="362"/>
      <c r="S223" s="152" t="s">
        <v>121</v>
      </c>
      <c r="T223" s="65"/>
      <c r="U223" s="66"/>
      <c r="V223" s="66"/>
    </row>
    <row r="224" spans="1:22" ht="29">
      <c r="A224" s="61" t="b">
        <v>0</v>
      </c>
      <c r="B224" s="62" t="s">
        <v>38</v>
      </c>
      <c r="C224" s="62"/>
      <c r="D224" s="62" t="b">
        <v>1</v>
      </c>
      <c r="E224" s="62" t="b">
        <v>1</v>
      </c>
      <c r="F224" s="71"/>
      <c r="G224" s="284" t="s">
        <v>435</v>
      </c>
      <c r="H224" s="285"/>
      <c r="I224" s="285"/>
      <c r="J224" s="285"/>
      <c r="K224" s="285"/>
      <c r="L224" s="285"/>
      <c r="M224" s="285"/>
      <c r="N224" s="285"/>
      <c r="O224" s="285"/>
      <c r="P224" s="285"/>
      <c r="Q224" s="285"/>
      <c r="R224" s="286"/>
      <c r="S224" s="70" t="s">
        <v>436</v>
      </c>
      <c r="T224" s="71" t="s">
        <v>160</v>
      </c>
      <c r="U224" s="41" t="s">
        <v>20</v>
      </c>
      <c r="V224" s="99" t="s">
        <v>161</v>
      </c>
    </row>
    <row r="225" spans="1:22" ht="29">
      <c r="A225" s="61"/>
      <c r="B225" s="62"/>
      <c r="C225" s="62"/>
      <c r="D225" s="62"/>
      <c r="E225" s="62"/>
      <c r="F225" s="71"/>
      <c r="G225" s="284"/>
      <c r="H225" s="285"/>
      <c r="I225" s="285"/>
      <c r="J225" s="285"/>
      <c r="K225" s="285"/>
      <c r="L225" s="285"/>
      <c r="M225" s="285"/>
      <c r="N225" s="285"/>
      <c r="O225" s="285"/>
      <c r="P225" s="285"/>
      <c r="Q225" s="285"/>
      <c r="R225" s="286"/>
      <c r="S225" s="70" t="s">
        <v>437</v>
      </c>
      <c r="T225" s="71"/>
      <c r="U225" s="41"/>
      <c r="V225" s="99"/>
    </row>
    <row r="226" spans="1:22" ht="116">
      <c r="A226" s="61" t="b">
        <v>0</v>
      </c>
      <c r="B226" s="62" t="s">
        <v>38</v>
      </c>
      <c r="C226" s="62"/>
      <c r="D226" s="62" t="b">
        <v>1</v>
      </c>
      <c r="E226" s="62" t="b">
        <v>1</v>
      </c>
      <c r="F226" s="71"/>
      <c r="G226" s="284"/>
      <c r="H226" s="285"/>
      <c r="I226" s="285"/>
      <c r="J226" s="285"/>
      <c r="K226" s="285"/>
      <c r="L226" s="285"/>
      <c r="M226" s="285"/>
      <c r="N226" s="285"/>
      <c r="O226" s="285"/>
      <c r="P226" s="285"/>
      <c r="Q226" s="285"/>
      <c r="R226" s="286"/>
      <c r="S226" s="70" t="s">
        <v>438</v>
      </c>
      <c r="T226" s="71" t="s">
        <v>160</v>
      </c>
      <c r="U226" s="41" t="s">
        <v>20</v>
      </c>
      <c r="V226" s="99" t="s">
        <v>161</v>
      </c>
    </row>
    <row r="227" spans="1:22" ht="43.5">
      <c r="A227" s="61" t="b">
        <v>0</v>
      </c>
      <c r="B227" s="62" t="s">
        <v>38</v>
      </c>
      <c r="C227" s="62"/>
      <c r="D227" s="62" t="b">
        <v>1</v>
      </c>
      <c r="E227" s="62" t="b">
        <v>1</v>
      </c>
      <c r="F227" s="71"/>
      <c r="G227" s="284"/>
      <c r="H227" s="285"/>
      <c r="I227" s="285"/>
      <c r="J227" s="285"/>
      <c r="K227" s="285"/>
      <c r="L227" s="285"/>
      <c r="M227" s="285"/>
      <c r="N227" s="285"/>
      <c r="O227" s="285"/>
      <c r="P227" s="285"/>
      <c r="Q227" s="285"/>
      <c r="R227" s="286"/>
      <c r="S227" s="70" t="s">
        <v>439</v>
      </c>
      <c r="T227" s="71" t="s">
        <v>160</v>
      </c>
      <c r="U227" s="41" t="s">
        <v>20</v>
      </c>
      <c r="V227" s="99" t="s">
        <v>161</v>
      </c>
    </row>
    <row r="228" spans="1:22" ht="29">
      <c r="A228" s="61" t="b">
        <v>0</v>
      </c>
      <c r="B228" s="62" t="s">
        <v>38</v>
      </c>
      <c r="C228" s="62"/>
      <c r="D228" s="62" t="b">
        <v>1</v>
      </c>
      <c r="E228" s="62" t="b">
        <v>1</v>
      </c>
      <c r="F228" s="71"/>
      <c r="G228" s="284"/>
      <c r="H228" s="285"/>
      <c r="I228" s="285"/>
      <c r="J228" s="285"/>
      <c r="K228" s="285"/>
      <c r="L228" s="285"/>
      <c r="M228" s="285"/>
      <c r="N228" s="285"/>
      <c r="O228" s="285"/>
      <c r="P228" s="285"/>
      <c r="Q228" s="285"/>
      <c r="R228" s="286"/>
      <c r="S228" s="70" t="s">
        <v>440</v>
      </c>
      <c r="T228" s="71" t="s">
        <v>160</v>
      </c>
      <c r="U228" s="41" t="s">
        <v>20</v>
      </c>
      <c r="V228" s="99" t="s">
        <v>161</v>
      </c>
    </row>
    <row r="229" spans="1:22" ht="29">
      <c r="A229" s="52" t="s">
        <v>4</v>
      </c>
      <c r="B229" s="52" t="s">
        <v>5</v>
      </c>
      <c r="C229" s="52" t="s">
        <v>6</v>
      </c>
      <c r="D229" s="52" t="s">
        <v>113</v>
      </c>
      <c r="E229" s="52" t="s">
        <v>114</v>
      </c>
      <c r="F229" s="52" t="s">
        <v>9</v>
      </c>
      <c r="G229" s="287" t="s">
        <v>10</v>
      </c>
      <c r="H229" s="288"/>
      <c r="I229" s="288"/>
      <c r="J229" s="288"/>
      <c r="K229" s="288"/>
      <c r="L229" s="288"/>
      <c r="M229" s="288"/>
      <c r="N229" s="288"/>
      <c r="O229" s="288"/>
      <c r="P229" s="288"/>
      <c r="Q229" s="288"/>
      <c r="R229" s="289"/>
      <c r="S229" s="151"/>
      <c r="T229" s="52" t="s">
        <v>12</v>
      </c>
      <c r="U229" s="16" t="s">
        <v>13</v>
      </c>
      <c r="V229" s="16" t="s">
        <v>14</v>
      </c>
    </row>
    <row r="230" spans="1:22">
      <c r="A230" s="55"/>
      <c r="B230" s="56" t="s">
        <v>15</v>
      </c>
      <c r="C230" s="56"/>
      <c r="D230" s="56" t="b">
        <v>0</v>
      </c>
      <c r="E230" s="56" t="b">
        <v>1</v>
      </c>
      <c r="F230" s="56"/>
      <c r="G230" s="290" t="s">
        <v>441</v>
      </c>
      <c r="H230" s="291"/>
      <c r="I230" s="291"/>
      <c r="J230" s="291"/>
      <c r="K230" s="291"/>
      <c r="L230" s="291"/>
      <c r="M230" s="291"/>
      <c r="N230" s="291"/>
      <c r="O230" s="291"/>
      <c r="P230" s="291"/>
      <c r="Q230" s="291"/>
      <c r="R230" s="292"/>
      <c r="S230" s="72"/>
      <c r="T230" s="56"/>
      <c r="U230" s="57"/>
      <c r="V230" s="57"/>
    </row>
    <row r="231" spans="1:22">
      <c r="A231" s="58"/>
      <c r="B231" s="59" t="s">
        <v>17</v>
      </c>
      <c r="C231" s="59"/>
      <c r="D231" s="59" t="b">
        <v>0</v>
      </c>
      <c r="E231" s="59" t="b">
        <v>1</v>
      </c>
      <c r="F231" s="59" t="s">
        <v>18</v>
      </c>
      <c r="G231" s="293" t="s">
        <v>442</v>
      </c>
      <c r="H231" s="294"/>
      <c r="I231" s="294"/>
      <c r="J231" s="294"/>
      <c r="K231" s="294"/>
      <c r="L231" s="294"/>
      <c r="M231" s="294"/>
      <c r="N231" s="294"/>
      <c r="O231" s="294"/>
      <c r="P231" s="294"/>
      <c r="Q231" s="294"/>
      <c r="R231" s="295"/>
      <c r="S231" s="73"/>
      <c r="T231" s="59"/>
      <c r="U231" s="59"/>
      <c r="V231" s="60"/>
    </row>
    <row r="232" spans="1:22" hidden="1">
      <c r="A232" s="61" t="b">
        <v>1</v>
      </c>
      <c r="B232" s="62" t="s">
        <v>21</v>
      </c>
      <c r="C232" s="62"/>
      <c r="D232" s="62" t="b">
        <v>0</v>
      </c>
      <c r="E232" s="62" t="b">
        <v>1</v>
      </c>
      <c r="F232" s="71" t="s">
        <v>22</v>
      </c>
      <c r="G232" s="54" t="s">
        <v>57</v>
      </c>
      <c r="H232" s="54"/>
      <c r="I232" s="54"/>
      <c r="J232" s="54"/>
      <c r="K232" s="54"/>
      <c r="L232" s="54"/>
      <c r="M232" s="54"/>
      <c r="N232" s="54"/>
      <c r="O232" s="54"/>
      <c r="P232" s="54"/>
      <c r="Q232" s="54"/>
      <c r="R232" s="54"/>
      <c r="S232" s="70"/>
      <c r="T232" s="71"/>
      <c r="U232" s="54"/>
      <c r="V232" s="63"/>
    </row>
    <row r="233" spans="1:22" hidden="1">
      <c r="A233" s="61" t="b">
        <v>0</v>
      </c>
      <c r="B233" s="62" t="s">
        <v>24</v>
      </c>
      <c r="C233" s="62"/>
      <c r="D233" s="62" t="b">
        <v>0</v>
      </c>
      <c r="E233" s="62" t="b">
        <v>1</v>
      </c>
      <c r="F233" s="71" t="s">
        <v>25</v>
      </c>
      <c r="G233" s="54">
        <v>1</v>
      </c>
      <c r="H233" s="54"/>
      <c r="I233" s="54"/>
      <c r="J233" s="54"/>
      <c r="K233" s="54"/>
      <c r="L233" s="54"/>
      <c r="M233" s="54"/>
      <c r="N233" s="54"/>
      <c r="O233" s="54"/>
      <c r="P233" s="54"/>
      <c r="Q233" s="54"/>
      <c r="R233" s="54"/>
      <c r="S233" s="70"/>
      <c r="T233" s="71"/>
      <c r="U233" s="54"/>
      <c r="V233" s="63"/>
    </row>
    <row r="234" spans="1:22" hidden="1">
      <c r="A234" s="61" t="b">
        <v>0</v>
      </c>
      <c r="B234" s="62" t="s">
        <v>26</v>
      </c>
      <c r="C234" s="62"/>
      <c r="D234" s="62" t="b">
        <v>0</v>
      </c>
      <c r="E234" s="62" t="b">
        <v>1</v>
      </c>
      <c r="F234" s="71" t="s">
        <v>27</v>
      </c>
      <c r="G234" s="54"/>
      <c r="H234" s="54"/>
      <c r="I234" s="54"/>
      <c r="J234" s="54"/>
      <c r="K234" s="54"/>
      <c r="L234" s="54"/>
      <c r="M234" s="54"/>
      <c r="N234" s="54"/>
      <c r="O234" s="54"/>
      <c r="P234" s="54"/>
      <c r="Q234" s="54"/>
      <c r="R234" s="54"/>
      <c r="S234" s="70"/>
      <c r="T234" s="71"/>
      <c r="U234" s="54"/>
      <c r="V234" s="63"/>
    </row>
    <row r="235" spans="1:22" hidden="1">
      <c r="A235" s="61" t="b">
        <v>1</v>
      </c>
      <c r="B235" s="62" t="s">
        <v>28</v>
      </c>
      <c r="C235" s="62"/>
      <c r="D235" s="62" t="b">
        <v>0</v>
      </c>
      <c r="E235" s="62" t="b">
        <v>1</v>
      </c>
      <c r="F235" s="71" t="s">
        <v>47</v>
      </c>
      <c r="G235" s="54"/>
      <c r="H235" s="54"/>
      <c r="I235" s="54"/>
      <c r="J235" s="54"/>
      <c r="K235" s="54"/>
      <c r="L235" s="54"/>
      <c r="M235" s="54"/>
      <c r="N235" s="54"/>
      <c r="O235" s="54"/>
      <c r="P235" s="54"/>
      <c r="Q235" s="54"/>
      <c r="R235" s="54"/>
      <c r="S235" s="70"/>
      <c r="T235" s="71"/>
      <c r="U235" s="54"/>
      <c r="V235" s="63"/>
    </row>
    <row r="236" spans="1:22" hidden="1">
      <c r="A236" s="65"/>
      <c r="B236" s="65" t="s">
        <v>31</v>
      </c>
      <c r="C236" s="65"/>
      <c r="D236" s="65" t="b">
        <v>0</v>
      </c>
      <c r="E236" s="65" t="b">
        <v>1</v>
      </c>
      <c r="F236" s="65" t="s">
        <v>32</v>
      </c>
      <c r="G236" s="65"/>
      <c r="H236" s="65"/>
      <c r="I236" s="65"/>
      <c r="J236" s="65"/>
      <c r="K236" s="65"/>
      <c r="L236" s="65"/>
      <c r="M236" s="65"/>
      <c r="N236" s="65"/>
      <c r="O236" s="65"/>
      <c r="P236" s="65"/>
      <c r="Q236" s="65"/>
      <c r="R236" s="65"/>
      <c r="S236" s="152" t="s">
        <v>121</v>
      </c>
      <c r="T236" s="65"/>
      <c r="U236" s="65"/>
      <c r="V236" s="65"/>
    </row>
    <row r="237" spans="1:22">
      <c r="A237" s="61" t="b">
        <v>1</v>
      </c>
      <c r="B237" s="62" t="s">
        <v>35</v>
      </c>
      <c r="C237" s="62"/>
      <c r="D237" s="62" t="b">
        <v>0</v>
      </c>
      <c r="E237" s="62" t="b">
        <v>1</v>
      </c>
      <c r="F237" s="71" t="s">
        <v>34</v>
      </c>
      <c r="G237" s="323" t="s">
        <v>443</v>
      </c>
      <c r="H237" s="324"/>
      <c r="I237" s="324"/>
      <c r="J237" s="324"/>
      <c r="K237" s="324"/>
      <c r="L237" s="324"/>
      <c r="M237" s="324"/>
      <c r="N237" s="324"/>
      <c r="O237" s="324"/>
      <c r="P237" s="324"/>
      <c r="Q237" s="324"/>
      <c r="R237" s="325"/>
      <c r="S237" s="70"/>
      <c r="T237" s="71" t="s">
        <v>389</v>
      </c>
      <c r="U237" s="41" t="s">
        <v>127</v>
      </c>
      <c r="V237" s="63"/>
    </row>
    <row r="238" spans="1:22" ht="29">
      <c r="A238" s="61" t="b">
        <v>1</v>
      </c>
      <c r="B238" s="62" t="s">
        <v>444</v>
      </c>
      <c r="C238" s="62"/>
      <c r="D238" s="62" t="b">
        <v>1</v>
      </c>
      <c r="E238" s="62" t="b">
        <v>1</v>
      </c>
      <c r="F238" s="71" t="s">
        <v>445</v>
      </c>
      <c r="G238" s="314" t="s">
        <v>446</v>
      </c>
      <c r="H238" s="315"/>
      <c r="I238" s="315"/>
      <c r="J238" s="315"/>
      <c r="K238" s="315"/>
      <c r="L238" s="315"/>
      <c r="M238" s="315"/>
      <c r="N238" s="315"/>
      <c r="O238" s="315"/>
      <c r="P238" s="315"/>
      <c r="Q238" s="315"/>
      <c r="R238" s="316"/>
      <c r="S238" s="70" t="s">
        <v>447</v>
      </c>
      <c r="T238" s="71" t="s">
        <v>153</v>
      </c>
      <c r="U238" s="41" t="s">
        <v>127</v>
      </c>
      <c r="V238" s="63"/>
    </row>
    <row r="239" spans="1:22">
      <c r="A239" s="61" t="b">
        <v>1</v>
      </c>
      <c r="B239" s="62" t="s">
        <v>35</v>
      </c>
      <c r="C239" s="62"/>
      <c r="D239" s="62" t="b">
        <v>0</v>
      </c>
      <c r="E239" s="62" t="b">
        <v>1</v>
      </c>
      <c r="F239" s="71" t="s">
        <v>34</v>
      </c>
      <c r="G239" s="323" t="s">
        <v>448</v>
      </c>
      <c r="H239" s="324"/>
      <c r="I239" s="324"/>
      <c r="J239" s="324"/>
      <c r="K239" s="324"/>
      <c r="L239" s="324"/>
      <c r="M239" s="324"/>
      <c r="N239" s="324"/>
      <c r="O239" s="324"/>
      <c r="P239" s="324"/>
      <c r="Q239" s="324"/>
      <c r="R239" s="325"/>
      <c r="S239" s="70"/>
      <c r="T239" s="71"/>
      <c r="U239" s="41" t="s">
        <v>127</v>
      </c>
      <c r="V239" s="63"/>
    </row>
    <row r="240" spans="1:22" ht="29">
      <c r="A240" s="61" t="b">
        <v>1</v>
      </c>
      <c r="B240" s="62" t="s">
        <v>35</v>
      </c>
      <c r="C240" s="62"/>
      <c r="D240" s="62" t="b">
        <v>0</v>
      </c>
      <c r="E240" s="62" t="b">
        <v>1</v>
      </c>
      <c r="F240" s="71" t="s">
        <v>449</v>
      </c>
      <c r="G240" s="314" t="s">
        <v>450</v>
      </c>
      <c r="H240" s="315"/>
      <c r="I240" s="315"/>
      <c r="J240" s="315"/>
      <c r="K240" s="315"/>
      <c r="L240" s="315"/>
      <c r="M240" s="315"/>
      <c r="N240" s="315"/>
      <c r="O240" s="315"/>
      <c r="P240" s="315"/>
      <c r="Q240" s="315"/>
      <c r="R240" s="316"/>
      <c r="S240" s="70" t="s">
        <v>451</v>
      </c>
      <c r="T240" s="71" t="s">
        <v>153</v>
      </c>
      <c r="U240" s="41" t="s">
        <v>127</v>
      </c>
      <c r="V240" s="63"/>
    </row>
    <row r="241" spans="1:22" ht="29">
      <c r="A241" s="61" t="b">
        <v>1</v>
      </c>
      <c r="B241" s="62" t="s">
        <v>35</v>
      </c>
      <c r="C241" s="62"/>
      <c r="D241" s="62" t="b">
        <v>0</v>
      </c>
      <c r="E241" s="62" t="b">
        <v>1</v>
      </c>
      <c r="F241" s="71" t="s">
        <v>452</v>
      </c>
      <c r="G241" s="314" t="s">
        <v>453</v>
      </c>
      <c r="H241" s="315"/>
      <c r="I241" s="315"/>
      <c r="J241" s="315"/>
      <c r="K241" s="315"/>
      <c r="L241" s="315"/>
      <c r="M241" s="315"/>
      <c r="N241" s="315"/>
      <c r="O241" s="315"/>
      <c r="P241" s="315"/>
      <c r="Q241" s="315"/>
      <c r="R241" s="316"/>
      <c r="S241" s="70" t="s">
        <v>454</v>
      </c>
      <c r="T241" s="71" t="s">
        <v>153</v>
      </c>
      <c r="U241" s="41" t="s">
        <v>127</v>
      </c>
      <c r="V241" s="63"/>
    </row>
    <row r="242" spans="1:22" ht="29">
      <c r="A242" s="61" t="b">
        <v>1</v>
      </c>
      <c r="B242" s="62" t="s">
        <v>35</v>
      </c>
      <c r="C242" s="62"/>
      <c r="D242" s="62" t="b">
        <v>0</v>
      </c>
      <c r="E242" s="62" t="b">
        <v>1</v>
      </c>
      <c r="F242" s="71" t="s">
        <v>455</v>
      </c>
      <c r="G242" s="314" t="s">
        <v>456</v>
      </c>
      <c r="H242" s="315"/>
      <c r="I242" s="315"/>
      <c r="J242" s="315"/>
      <c r="K242" s="315"/>
      <c r="L242" s="315"/>
      <c r="M242" s="315"/>
      <c r="N242" s="315"/>
      <c r="O242" s="315"/>
      <c r="P242" s="315"/>
      <c r="Q242" s="315"/>
      <c r="R242" s="316"/>
      <c r="S242" s="70" t="s">
        <v>457</v>
      </c>
      <c r="T242" s="71" t="s">
        <v>153</v>
      </c>
      <c r="U242" s="41" t="s">
        <v>127</v>
      </c>
      <c r="V242" s="63"/>
    </row>
    <row r="243" spans="1:22" ht="29">
      <c r="A243" s="61" t="b">
        <v>1</v>
      </c>
      <c r="B243" s="62" t="s">
        <v>35</v>
      </c>
      <c r="C243" s="62"/>
      <c r="D243" s="62" t="b">
        <v>0</v>
      </c>
      <c r="E243" s="62" t="b">
        <v>1</v>
      </c>
      <c r="F243" s="71" t="s">
        <v>458</v>
      </c>
      <c r="G243" s="314" t="s">
        <v>459</v>
      </c>
      <c r="H243" s="315"/>
      <c r="I243" s="315"/>
      <c r="J243" s="315"/>
      <c r="K243" s="315"/>
      <c r="L243" s="315"/>
      <c r="M243" s="315"/>
      <c r="N243" s="315"/>
      <c r="O243" s="315"/>
      <c r="P243" s="315"/>
      <c r="Q243" s="315"/>
      <c r="R243" s="316"/>
      <c r="S243" s="70" t="s">
        <v>460</v>
      </c>
      <c r="T243" s="71" t="s">
        <v>153</v>
      </c>
      <c r="U243" s="41" t="s">
        <v>127</v>
      </c>
      <c r="V243" s="63"/>
    </row>
    <row r="244" spans="1:22" ht="29">
      <c r="A244" s="61" t="b">
        <v>1</v>
      </c>
      <c r="B244" s="62" t="s">
        <v>35</v>
      </c>
      <c r="C244" s="62"/>
      <c r="D244" s="62" t="b">
        <v>0</v>
      </c>
      <c r="E244" s="62" t="b">
        <v>1</v>
      </c>
      <c r="F244" s="71" t="s">
        <v>461</v>
      </c>
      <c r="G244" s="314" t="s">
        <v>462</v>
      </c>
      <c r="H244" s="315"/>
      <c r="I244" s="315"/>
      <c r="J244" s="315"/>
      <c r="K244" s="315"/>
      <c r="L244" s="315"/>
      <c r="M244" s="315"/>
      <c r="N244" s="315"/>
      <c r="O244" s="315"/>
      <c r="P244" s="315"/>
      <c r="Q244" s="315"/>
      <c r="R244" s="316"/>
      <c r="S244" s="70" t="s">
        <v>463</v>
      </c>
      <c r="T244" s="71" t="s">
        <v>153</v>
      </c>
      <c r="U244" s="41" t="s">
        <v>127</v>
      </c>
      <c r="V244" s="63"/>
    </row>
    <row r="245" spans="1:22" ht="29">
      <c r="A245" s="61" t="b">
        <v>1</v>
      </c>
      <c r="B245" s="62" t="s">
        <v>35</v>
      </c>
      <c r="C245" s="62"/>
      <c r="D245" s="62" t="b">
        <v>0</v>
      </c>
      <c r="E245" s="62" t="b">
        <v>1</v>
      </c>
      <c r="F245" s="71" t="s">
        <v>464</v>
      </c>
      <c r="G245" s="314" t="s">
        <v>465</v>
      </c>
      <c r="H245" s="315"/>
      <c r="I245" s="315"/>
      <c r="J245" s="315"/>
      <c r="K245" s="315"/>
      <c r="L245" s="315"/>
      <c r="M245" s="315"/>
      <c r="N245" s="315"/>
      <c r="O245" s="315"/>
      <c r="P245" s="315"/>
      <c r="Q245" s="315"/>
      <c r="R245" s="316"/>
      <c r="S245" s="70" t="s">
        <v>466</v>
      </c>
      <c r="T245" s="71" t="s">
        <v>153</v>
      </c>
      <c r="U245" s="41" t="s">
        <v>127</v>
      </c>
      <c r="V245" s="63"/>
    </row>
    <row r="246" spans="1:22" ht="29">
      <c r="A246" s="61" t="b">
        <v>1</v>
      </c>
      <c r="B246" s="62" t="s">
        <v>35</v>
      </c>
      <c r="C246" s="62"/>
      <c r="D246" s="62" t="b">
        <v>0</v>
      </c>
      <c r="E246" s="62" t="b">
        <v>1</v>
      </c>
      <c r="F246" s="71" t="s">
        <v>467</v>
      </c>
      <c r="G246" s="314"/>
      <c r="H246" s="315"/>
      <c r="I246" s="315"/>
      <c r="J246" s="315"/>
      <c r="K246" s="315"/>
      <c r="L246" s="315"/>
      <c r="M246" s="315"/>
      <c r="N246" s="315"/>
      <c r="O246" s="315"/>
      <c r="P246" s="315"/>
      <c r="Q246" s="315"/>
      <c r="R246" s="316"/>
      <c r="S246" s="70" t="s">
        <v>468</v>
      </c>
      <c r="T246" s="71" t="s">
        <v>153</v>
      </c>
      <c r="U246" s="41" t="s">
        <v>20</v>
      </c>
      <c r="V246" s="63"/>
    </row>
    <row r="247" spans="1:22" ht="29">
      <c r="A247" s="61" t="b">
        <v>1</v>
      </c>
      <c r="B247" s="62" t="s">
        <v>35</v>
      </c>
      <c r="C247" s="62"/>
      <c r="D247" s="62" t="b">
        <v>0</v>
      </c>
      <c r="E247" s="62" t="b">
        <v>1</v>
      </c>
      <c r="F247" s="71" t="s">
        <v>469</v>
      </c>
      <c r="G247" s="314"/>
      <c r="H247" s="315"/>
      <c r="I247" s="315"/>
      <c r="J247" s="315"/>
      <c r="K247" s="315"/>
      <c r="L247" s="315"/>
      <c r="M247" s="315"/>
      <c r="N247" s="315"/>
      <c r="O247" s="315"/>
      <c r="P247" s="315"/>
      <c r="Q247" s="315"/>
      <c r="R247" s="316"/>
      <c r="S247" s="70"/>
      <c r="T247" s="71" t="s">
        <v>153</v>
      </c>
      <c r="U247" s="41" t="s">
        <v>20</v>
      </c>
      <c r="V247" s="63"/>
    </row>
    <row r="248" spans="1:22" ht="29">
      <c r="A248" s="61" t="b">
        <v>1</v>
      </c>
      <c r="B248" s="62" t="s">
        <v>35</v>
      </c>
      <c r="C248" s="62"/>
      <c r="D248" s="62" t="b">
        <v>0</v>
      </c>
      <c r="E248" s="62" t="b">
        <v>1</v>
      </c>
      <c r="F248" s="71" t="s">
        <v>470</v>
      </c>
      <c r="G248" s="314"/>
      <c r="H248" s="315"/>
      <c r="I248" s="315"/>
      <c r="J248" s="315"/>
      <c r="K248" s="315"/>
      <c r="L248" s="315"/>
      <c r="M248" s="315"/>
      <c r="N248" s="315"/>
      <c r="O248" s="315"/>
      <c r="P248" s="315"/>
      <c r="Q248" s="315"/>
      <c r="R248" s="316"/>
      <c r="S248" s="70"/>
      <c r="T248" s="71" t="s">
        <v>153</v>
      </c>
      <c r="U248" s="41" t="s">
        <v>20</v>
      </c>
      <c r="V248" s="63"/>
    </row>
    <row r="249" spans="1:22">
      <c r="A249" s="61" t="b">
        <v>1</v>
      </c>
      <c r="B249" s="62" t="s">
        <v>35</v>
      </c>
      <c r="C249" s="62"/>
      <c r="D249" s="62" t="b">
        <v>0</v>
      </c>
      <c r="E249" s="62" t="b">
        <v>0</v>
      </c>
      <c r="F249" s="71" t="s">
        <v>34</v>
      </c>
      <c r="G249" s="323" t="s">
        <v>471</v>
      </c>
      <c r="H249" s="324"/>
      <c r="I249" s="324"/>
      <c r="J249" s="324"/>
      <c r="K249" s="324"/>
      <c r="L249" s="324"/>
      <c r="M249" s="324"/>
      <c r="N249" s="324"/>
      <c r="O249" s="324"/>
      <c r="P249" s="324"/>
      <c r="Q249" s="324"/>
      <c r="R249" s="325"/>
      <c r="S249" s="70"/>
      <c r="T249" s="71"/>
      <c r="U249" s="41" t="s">
        <v>20</v>
      </c>
      <c r="V249" s="63"/>
    </row>
    <row r="250" spans="1:22" ht="29">
      <c r="A250" s="61" t="b">
        <v>1</v>
      </c>
      <c r="B250" s="62" t="s">
        <v>472</v>
      </c>
      <c r="C250" s="62"/>
      <c r="D250" s="62" t="b">
        <v>1</v>
      </c>
      <c r="E250" s="62" t="b">
        <v>1</v>
      </c>
      <c r="F250" s="71" t="s">
        <v>473</v>
      </c>
      <c r="G250" s="329" t="s">
        <v>474</v>
      </c>
      <c r="H250" s="330"/>
      <c r="I250" s="330"/>
      <c r="J250" s="330"/>
      <c r="K250" s="330"/>
      <c r="L250" s="330"/>
      <c r="M250" s="330"/>
      <c r="N250" s="330"/>
      <c r="O250" s="330"/>
      <c r="P250" s="330"/>
      <c r="Q250" s="330"/>
      <c r="R250" s="331"/>
      <c r="S250" s="70" t="s">
        <v>475</v>
      </c>
      <c r="T250" s="71" t="s">
        <v>153</v>
      </c>
      <c r="U250" s="41" t="s">
        <v>127</v>
      </c>
      <c r="V250" s="63"/>
    </row>
    <row r="251" spans="1:22" ht="29.15" customHeight="1">
      <c r="A251" s="61" t="b">
        <v>1</v>
      </c>
      <c r="B251" s="62" t="s">
        <v>35</v>
      </c>
      <c r="C251" s="62"/>
      <c r="D251" s="62" t="b">
        <v>0</v>
      </c>
      <c r="E251" s="62" t="b">
        <v>1</v>
      </c>
      <c r="F251" s="71" t="s">
        <v>476</v>
      </c>
      <c r="G251" s="329" t="s">
        <v>477</v>
      </c>
      <c r="H251" s="330"/>
      <c r="I251" s="330"/>
      <c r="J251" s="330"/>
      <c r="K251" s="330"/>
      <c r="L251" s="330"/>
      <c r="M251" s="330"/>
      <c r="N251" s="330"/>
      <c r="O251" s="330"/>
      <c r="P251" s="330"/>
      <c r="Q251" s="330"/>
      <c r="R251" s="331"/>
      <c r="S251" s="70" t="s">
        <v>478</v>
      </c>
      <c r="T251" s="71" t="s">
        <v>153</v>
      </c>
      <c r="U251" s="41" t="s">
        <v>127</v>
      </c>
      <c r="V251" s="63"/>
    </row>
    <row r="252" spans="1:22" ht="29">
      <c r="A252" s="61" t="b">
        <v>1</v>
      </c>
      <c r="B252" s="62" t="s">
        <v>35</v>
      </c>
      <c r="C252" s="62"/>
      <c r="D252" s="62" t="b">
        <v>0</v>
      </c>
      <c r="E252" s="62" t="b">
        <v>1</v>
      </c>
      <c r="F252" s="71" t="s">
        <v>479</v>
      </c>
      <c r="G252" s="329"/>
      <c r="H252" s="330"/>
      <c r="I252" s="330"/>
      <c r="J252" s="330"/>
      <c r="K252" s="330"/>
      <c r="L252" s="330"/>
      <c r="M252" s="330"/>
      <c r="N252" s="330"/>
      <c r="O252" s="330"/>
      <c r="P252" s="330"/>
      <c r="Q252" s="330"/>
      <c r="R252" s="331"/>
      <c r="S252" s="70" t="s">
        <v>480</v>
      </c>
      <c r="T252" s="71" t="s">
        <v>153</v>
      </c>
      <c r="U252" s="41" t="s">
        <v>127</v>
      </c>
      <c r="V252" s="63"/>
    </row>
    <row r="253" spans="1:22" ht="29">
      <c r="A253" s="61" t="b">
        <v>1</v>
      </c>
      <c r="B253" s="62" t="s">
        <v>35</v>
      </c>
      <c r="C253" s="62"/>
      <c r="D253" s="62" t="b">
        <v>0</v>
      </c>
      <c r="E253" s="62" t="b">
        <v>1</v>
      </c>
      <c r="F253" s="71" t="s">
        <v>481</v>
      </c>
      <c r="G253" s="329"/>
      <c r="H253" s="330"/>
      <c r="I253" s="330"/>
      <c r="J253" s="330"/>
      <c r="K253" s="330"/>
      <c r="L253" s="330"/>
      <c r="M253" s="330"/>
      <c r="N253" s="330"/>
      <c r="O253" s="330"/>
      <c r="P253" s="330"/>
      <c r="Q253" s="330"/>
      <c r="R253" s="331"/>
      <c r="S253" s="70" t="s">
        <v>477</v>
      </c>
      <c r="T253" s="71" t="s">
        <v>153</v>
      </c>
      <c r="U253" s="41" t="s">
        <v>20</v>
      </c>
      <c r="V253" s="63"/>
    </row>
    <row r="254" spans="1:22" ht="29">
      <c r="A254" s="61" t="b">
        <v>1</v>
      </c>
      <c r="B254" s="62" t="s">
        <v>35</v>
      </c>
      <c r="C254" s="62"/>
      <c r="D254" s="62" t="b">
        <v>0</v>
      </c>
      <c r="E254" s="62" t="b">
        <v>1</v>
      </c>
      <c r="F254" s="71" t="s">
        <v>482</v>
      </c>
      <c r="G254" s="329"/>
      <c r="H254" s="330"/>
      <c r="I254" s="330"/>
      <c r="J254" s="330"/>
      <c r="K254" s="330"/>
      <c r="L254" s="330"/>
      <c r="M254" s="330"/>
      <c r="N254" s="330"/>
      <c r="O254" s="330"/>
      <c r="P254" s="330"/>
      <c r="Q254" s="330"/>
      <c r="R254" s="331"/>
      <c r="S254" s="70"/>
      <c r="T254" s="71" t="s">
        <v>153</v>
      </c>
      <c r="U254" s="41" t="s">
        <v>20</v>
      </c>
      <c r="V254" s="63"/>
    </row>
    <row r="255" spans="1:22" ht="29">
      <c r="A255" s="61" t="b">
        <v>1</v>
      </c>
      <c r="B255" s="62" t="s">
        <v>35</v>
      </c>
      <c r="C255" s="62"/>
      <c r="D255" s="62" t="b">
        <v>0</v>
      </c>
      <c r="E255" s="62" t="b">
        <v>1</v>
      </c>
      <c r="F255" s="71" t="s">
        <v>483</v>
      </c>
      <c r="G255" s="329"/>
      <c r="H255" s="330"/>
      <c r="I255" s="330"/>
      <c r="J255" s="330"/>
      <c r="K255" s="330"/>
      <c r="L255" s="330"/>
      <c r="M255" s="330"/>
      <c r="N255" s="330"/>
      <c r="O255" s="330"/>
      <c r="P255" s="330"/>
      <c r="Q255" s="330"/>
      <c r="R255" s="331"/>
      <c r="S255" s="70"/>
      <c r="T255" s="71" t="s">
        <v>153</v>
      </c>
      <c r="U255" s="41" t="s">
        <v>20</v>
      </c>
      <c r="V255" s="63"/>
    </row>
    <row r="256" spans="1:22" ht="29">
      <c r="A256" s="61" t="b">
        <v>1</v>
      </c>
      <c r="B256" s="62" t="s">
        <v>35</v>
      </c>
      <c r="C256" s="62"/>
      <c r="D256" s="62" t="b">
        <v>0</v>
      </c>
      <c r="E256" s="62" t="b">
        <v>1</v>
      </c>
      <c r="F256" s="71" t="s">
        <v>484</v>
      </c>
      <c r="G256" s="329"/>
      <c r="H256" s="330"/>
      <c r="I256" s="330"/>
      <c r="J256" s="330"/>
      <c r="K256" s="330"/>
      <c r="L256" s="330"/>
      <c r="M256" s="330"/>
      <c r="N256" s="330"/>
      <c r="O256" s="330"/>
      <c r="P256" s="330"/>
      <c r="Q256" s="330"/>
      <c r="R256" s="331"/>
      <c r="S256" s="70"/>
      <c r="T256" s="71" t="s">
        <v>153</v>
      </c>
      <c r="U256" s="41" t="s">
        <v>20</v>
      </c>
      <c r="V256" s="63"/>
    </row>
    <row r="257" spans="1:22" ht="29">
      <c r="A257" s="61" t="b">
        <v>1</v>
      </c>
      <c r="B257" s="62" t="s">
        <v>35</v>
      </c>
      <c r="C257" s="62"/>
      <c r="D257" s="62" t="b">
        <v>0</v>
      </c>
      <c r="E257" s="62" t="b">
        <v>1</v>
      </c>
      <c r="F257" s="71" t="s">
        <v>485</v>
      </c>
      <c r="G257" s="329"/>
      <c r="H257" s="330"/>
      <c r="I257" s="330"/>
      <c r="J257" s="330"/>
      <c r="K257" s="330"/>
      <c r="L257" s="330"/>
      <c r="M257" s="330"/>
      <c r="N257" s="330"/>
      <c r="O257" s="330"/>
      <c r="P257" s="330"/>
      <c r="Q257" s="330"/>
      <c r="R257" s="331"/>
      <c r="S257" s="70"/>
      <c r="T257" s="71" t="s">
        <v>153</v>
      </c>
      <c r="U257" s="41" t="s">
        <v>20</v>
      </c>
      <c r="V257" s="63"/>
    </row>
    <row r="258" spans="1:22">
      <c r="A258" s="64"/>
      <c r="B258" s="65" t="s">
        <v>36</v>
      </c>
      <c r="C258" s="65"/>
      <c r="D258" s="65" t="b">
        <v>0</v>
      </c>
      <c r="E258" s="65" t="b">
        <v>1</v>
      </c>
      <c r="F258" s="65" t="s">
        <v>37</v>
      </c>
      <c r="G258" s="299"/>
      <c r="H258" s="300"/>
      <c r="I258" s="300"/>
      <c r="J258" s="300"/>
      <c r="K258" s="300"/>
      <c r="L258" s="300"/>
      <c r="M258" s="300"/>
      <c r="N258" s="300"/>
      <c r="O258" s="300"/>
      <c r="P258" s="300"/>
      <c r="Q258" s="300"/>
      <c r="R258" s="301"/>
      <c r="S258" s="152" t="s">
        <v>121</v>
      </c>
      <c r="T258" s="65"/>
      <c r="U258" s="66"/>
      <c r="V258" s="66"/>
    </row>
    <row r="259" spans="1:22" ht="29">
      <c r="A259" s="64"/>
      <c r="B259" s="65"/>
      <c r="C259" s="65"/>
      <c r="D259" s="65"/>
      <c r="E259" s="65"/>
      <c r="F259" s="65"/>
      <c r="G259" s="284" t="s">
        <v>486</v>
      </c>
      <c r="H259" s="285"/>
      <c r="I259" s="285"/>
      <c r="J259" s="285"/>
      <c r="K259" s="285"/>
      <c r="L259" s="285"/>
      <c r="M259" s="285"/>
      <c r="N259" s="285"/>
      <c r="O259" s="285"/>
      <c r="P259" s="285"/>
      <c r="Q259" s="285"/>
      <c r="R259" s="286"/>
      <c r="S259" s="70" t="s">
        <v>487</v>
      </c>
      <c r="T259" s="71" t="s">
        <v>160</v>
      </c>
      <c r="U259" s="41" t="s">
        <v>20</v>
      </c>
      <c r="V259" s="99" t="s">
        <v>161</v>
      </c>
    </row>
    <row r="260" spans="1:22" ht="43.5">
      <c r="A260" s="54"/>
      <c r="B260" s="54"/>
      <c r="C260" s="54"/>
      <c r="D260" s="62" t="b">
        <v>1</v>
      </c>
      <c r="E260" s="62" t="b">
        <v>1</v>
      </c>
      <c r="F260" s="71"/>
      <c r="G260" s="284"/>
      <c r="H260" s="285"/>
      <c r="I260" s="285"/>
      <c r="J260" s="285"/>
      <c r="K260" s="285"/>
      <c r="L260" s="285"/>
      <c r="M260" s="285"/>
      <c r="N260" s="285"/>
      <c r="O260" s="285"/>
      <c r="P260" s="285"/>
      <c r="Q260" s="285"/>
      <c r="R260" s="286"/>
      <c r="S260" s="70" t="s">
        <v>488</v>
      </c>
      <c r="T260" s="71" t="s">
        <v>160</v>
      </c>
      <c r="U260" s="41" t="s">
        <v>20</v>
      </c>
      <c r="V260" s="99" t="s">
        <v>161</v>
      </c>
    </row>
    <row r="261" spans="1:22" ht="29">
      <c r="A261" s="52" t="s">
        <v>4</v>
      </c>
      <c r="B261" s="52" t="s">
        <v>5</v>
      </c>
      <c r="C261" s="52" t="s">
        <v>6</v>
      </c>
      <c r="D261" s="52" t="s">
        <v>113</v>
      </c>
      <c r="E261" s="52" t="s">
        <v>114</v>
      </c>
      <c r="F261" s="52" t="s">
        <v>9</v>
      </c>
      <c r="G261" s="287" t="s">
        <v>10</v>
      </c>
      <c r="H261" s="288"/>
      <c r="I261" s="288"/>
      <c r="J261" s="288"/>
      <c r="K261" s="288"/>
      <c r="L261" s="288"/>
      <c r="M261" s="288"/>
      <c r="N261" s="288"/>
      <c r="O261" s="288"/>
      <c r="P261" s="288"/>
      <c r="Q261" s="288"/>
      <c r="R261" s="289"/>
      <c r="S261" s="151"/>
      <c r="T261" s="52" t="s">
        <v>12</v>
      </c>
      <c r="U261" s="16" t="s">
        <v>13</v>
      </c>
      <c r="V261" s="16" t="s">
        <v>14</v>
      </c>
    </row>
    <row r="262" spans="1:22">
      <c r="A262" s="55"/>
      <c r="B262" s="56" t="s">
        <v>15</v>
      </c>
      <c r="C262" s="56"/>
      <c r="D262" s="56" t="b">
        <v>0</v>
      </c>
      <c r="E262" s="56" t="b">
        <v>1</v>
      </c>
      <c r="F262" s="56"/>
      <c r="G262" s="332" t="s">
        <v>489</v>
      </c>
      <c r="H262" s="333"/>
      <c r="I262" s="333"/>
      <c r="J262" s="333"/>
      <c r="K262" s="333"/>
      <c r="L262" s="333"/>
      <c r="M262" s="333"/>
      <c r="N262" s="333"/>
      <c r="O262" s="333"/>
      <c r="P262" s="333"/>
      <c r="Q262" s="333"/>
      <c r="R262" s="334"/>
      <c r="S262" s="72"/>
      <c r="T262" s="56"/>
      <c r="U262" s="57"/>
      <c r="V262" s="57"/>
    </row>
    <row r="263" spans="1:22" ht="29">
      <c r="A263" s="58"/>
      <c r="B263" s="59" t="s">
        <v>17</v>
      </c>
      <c r="C263" s="59"/>
      <c r="D263" s="59" t="b">
        <v>0</v>
      </c>
      <c r="E263" s="59" t="b">
        <v>1</v>
      </c>
      <c r="F263" s="59" t="s">
        <v>18</v>
      </c>
      <c r="G263" s="293" t="s">
        <v>490</v>
      </c>
      <c r="H263" s="294"/>
      <c r="I263" s="294"/>
      <c r="J263" s="294"/>
      <c r="K263" s="294"/>
      <c r="L263" s="294"/>
      <c r="M263" s="294"/>
      <c r="N263" s="294"/>
      <c r="O263" s="294"/>
      <c r="P263" s="294"/>
      <c r="Q263" s="294"/>
      <c r="R263" s="295"/>
      <c r="S263" s="73"/>
      <c r="T263" s="135" t="s">
        <v>120</v>
      </c>
      <c r="U263" s="41" t="s">
        <v>20</v>
      </c>
      <c r="V263" s="60"/>
    </row>
    <row r="264" spans="1:22" hidden="1">
      <c r="A264" s="61" t="b">
        <v>1</v>
      </c>
      <c r="B264" s="62" t="s">
        <v>21</v>
      </c>
      <c r="C264" s="62"/>
      <c r="D264" s="62" t="b">
        <v>0</v>
      </c>
      <c r="E264" s="62" t="b">
        <v>1</v>
      </c>
      <c r="F264" s="71" t="s">
        <v>22</v>
      </c>
      <c r="G264" s="54" t="s">
        <v>57</v>
      </c>
      <c r="H264" s="54"/>
      <c r="I264" s="54"/>
      <c r="J264" s="54"/>
      <c r="K264" s="54"/>
      <c r="L264" s="54"/>
      <c r="M264" s="54"/>
      <c r="N264" s="54"/>
      <c r="O264" s="54"/>
      <c r="P264" s="54"/>
      <c r="Q264" s="54"/>
      <c r="R264" s="54"/>
      <c r="S264" s="70"/>
      <c r="T264" s="71"/>
      <c r="U264" s="54"/>
      <c r="V264" s="63"/>
    </row>
    <row r="265" spans="1:22" hidden="1">
      <c r="A265" s="61" t="b">
        <v>0</v>
      </c>
      <c r="B265" s="62" t="s">
        <v>24</v>
      </c>
      <c r="C265" s="62"/>
      <c r="D265" s="62" t="b">
        <v>0</v>
      </c>
      <c r="E265" s="62" t="b">
        <v>1</v>
      </c>
      <c r="F265" s="71" t="s">
        <v>25</v>
      </c>
      <c r="G265" s="54">
        <v>1</v>
      </c>
      <c r="H265" s="54"/>
      <c r="I265" s="54"/>
      <c r="J265" s="54"/>
      <c r="K265" s="54"/>
      <c r="L265" s="54"/>
      <c r="M265" s="54"/>
      <c r="N265" s="54"/>
      <c r="O265" s="54"/>
      <c r="P265" s="54"/>
      <c r="Q265" s="54"/>
      <c r="R265" s="54"/>
      <c r="S265" s="70"/>
      <c r="T265" s="71"/>
      <c r="U265" s="54"/>
      <c r="V265" s="63"/>
    </row>
    <row r="266" spans="1:22" hidden="1">
      <c r="A266" s="61" t="b">
        <v>0</v>
      </c>
      <c r="B266" s="62" t="s">
        <v>26</v>
      </c>
      <c r="C266" s="62"/>
      <c r="D266" s="62" t="b">
        <v>0</v>
      </c>
      <c r="E266" s="62" t="b">
        <v>1</v>
      </c>
      <c r="F266" s="71" t="s">
        <v>27</v>
      </c>
      <c r="G266" s="54"/>
      <c r="H266" s="54"/>
      <c r="I266" s="54"/>
      <c r="J266" s="54"/>
      <c r="K266" s="54"/>
      <c r="L266" s="54"/>
      <c r="M266" s="54"/>
      <c r="N266" s="54"/>
      <c r="O266" s="54"/>
      <c r="P266" s="54"/>
      <c r="Q266" s="54"/>
      <c r="R266" s="54"/>
      <c r="S266" s="70"/>
      <c r="T266" s="71"/>
      <c r="U266" s="54"/>
      <c r="V266" s="63"/>
    </row>
    <row r="267" spans="1:22" hidden="1">
      <c r="A267" s="57" t="b">
        <v>1</v>
      </c>
      <c r="B267" s="57" t="s">
        <v>28</v>
      </c>
      <c r="C267" s="57"/>
      <c r="D267" s="57" t="b">
        <v>0</v>
      </c>
      <c r="E267" s="57" t="b">
        <v>1</v>
      </c>
      <c r="F267" s="56"/>
      <c r="G267" s="57" t="s">
        <v>489</v>
      </c>
      <c r="H267" s="57"/>
      <c r="I267" s="57"/>
      <c r="J267" s="57"/>
      <c r="K267" s="57"/>
      <c r="L267" s="57"/>
      <c r="M267" s="57"/>
      <c r="N267" s="57"/>
      <c r="O267" s="57"/>
      <c r="P267" s="57"/>
      <c r="Q267" s="57"/>
      <c r="R267" s="57"/>
      <c r="S267" s="72"/>
      <c r="T267" s="56"/>
      <c r="U267" s="57"/>
      <c r="V267" s="57"/>
    </row>
    <row r="268" spans="1:22" hidden="1">
      <c r="A268" s="65"/>
      <c r="B268" s="65" t="s">
        <v>31</v>
      </c>
      <c r="C268" s="65"/>
      <c r="D268" s="65" t="b">
        <v>0</v>
      </c>
      <c r="E268" s="65" t="b">
        <v>1</v>
      </c>
      <c r="F268" s="65" t="s">
        <v>32</v>
      </c>
      <c r="G268" s="65"/>
      <c r="H268" s="65"/>
      <c r="I268" s="65"/>
      <c r="J268" s="65"/>
      <c r="K268" s="65"/>
      <c r="L268" s="65"/>
      <c r="M268" s="65"/>
      <c r="N268" s="65"/>
      <c r="O268" s="65"/>
      <c r="P268" s="65"/>
      <c r="Q268" s="65"/>
      <c r="R268" s="65"/>
      <c r="S268" s="152" t="s">
        <v>121</v>
      </c>
      <c r="T268" s="65"/>
      <c r="U268" s="65"/>
      <c r="V268" s="65"/>
    </row>
    <row r="269" spans="1:22">
      <c r="A269" s="61" t="b">
        <v>0</v>
      </c>
      <c r="B269" s="62" t="s">
        <v>118</v>
      </c>
      <c r="C269" s="62"/>
      <c r="D269" s="62" t="b">
        <v>0</v>
      </c>
      <c r="E269" s="62" t="b">
        <v>1</v>
      </c>
      <c r="F269" s="71" t="s">
        <v>34</v>
      </c>
      <c r="G269" s="323" t="s">
        <v>491</v>
      </c>
      <c r="H269" s="324"/>
      <c r="I269" s="324"/>
      <c r="J269" s="324"/>
      <c r="K269" s="324"/>
      <c r="L269" s="324"/>
      <c r="M269" s="324"/>
      <c r="N269" s="324"/>
      <c r="O269" s="324"/>
      <c r="P269" s="324"/>
      <c r="Q269" s="324"/>
      <c r="R269" s="325"/>
      <c r="S269" s="70"/>
      <c r="T269" s="71" t="s">
        <v>153</v>
      </c>
      <c r="U269" s="41" t="s">
        <v>127</v>
      </c>
      <c r="V269" s="63"/>
    </row>
    <row r="270" spans="1:22" ht="27.75" customHeight="1">
      <c r="A270" s="61" t="b">
        <v>0</v>
      </c>
      <c r="B270" s="62" t="s">
        <v>492</v>
      </c>
      <c r="C270" s="62"/>
      <c r="D270" s="62" t="b">
        <v>1</v>
      </c>
      <c r="E270" s="62" t="b">
        <v>1</v>
      </c>
      <c r="F270" s="71" t="s">
        <v>493</v>
      </c>
      <c r="G270" s="320" t="s">
        <v>494</v>
      </c>
      <c r="H270" s="321"/>
      <c r="I270" s="321"/>
      <c r="J270" s="321"/>
      <c r="K270" s="321"/>
      <c r="L270" s="321"/>
      <c r="M270" s="321"/>
      <c r="N270" s="321"/>
      <c r="O270" s="321"/>
      <c r="P270" s="321"/>
      <c r="Q270" s="321"/>
      <c r="R270" s="322"/>
      <c r="S270" s="70" t="s">
        <v>495</v>
      </c>
      <c r="T270" s="71" t="s">
        <v>153</v>
      </c>
      <c r="U270" s="41" t="s">
        <v>127</v>
      </c>
      <c r="V270" s="63"/>
    </row>
    <row r="271" spans="1:22">
      <c r="A271" s="61" t="b">
        <v>0</v>
      </c>
      <c r="B271" s="62" t="s">
        <v>496</v>
      </c>
      <c r="C271" s="62"/>
      <c r="D271" s="62" t="b">
        <v>1</v>
      </c>
      <c r="E271" s="62" t="b">
        <v>1</v>
      </c>
      <c r="F271" s="71" t="s">
        <v>497</v>
      </c>
      <c r="G271" s="329" t="s">
        <v>498</v>
      </c>
      <c r="H271" s="330"/>
      <c r="I271" s="330"/>
      <c r="J271" s="330"/>
      <c r="K271" s="330"/>
      <c r="L271" s="330"/>
      <c r="M271" s="330"/>
      <c r="N271" s="330"/>
      <c r="O271" s="330"/>
      <c r="P271" s="330"/>
      <c r="Q271" s="330"/>
      <c r="R271" s="331"/>
      <c r="S271" s="70" t="s">
        <v>499</v>
      </c>
      <c r="T271" s="71" t="s">
        <v>153</v>
      </c>
      <c r="U271" s="41" t="s">
        <v>127</v>
      </c>
      <c r="V271" s="63"/>
    </row>
    <row r="272" spans="1:22" ht="28.5" customHeight="1">
      <c r="A272" s="61" t="b">
        <v>0</v>
      </c>
      <c r="B272" s="62" t="s">
        <v>118</v>
      </c>
      <c r="C272" s="62"/>
      <c r="D272" s="62" t="b">
        <v>1</v>
      </c>
      <c r="E272" s="62" t="b">
        <v>1</v>
      </c>
      <c r="F272" s="71" t="s">
        <v>500</v>
      </c>
      <c r="G272" s="329"/>
      <c r="H272" s="330"/>
      <c r="I272" s="330"/>
      <c r="J272" s="330"/>
      <c r="K272" s="330"/>
      <c r="L272" s="330"/>
      <c r="M272" s="330"/>
      <c r="N272" s="330"/>
      <c r="O272" s="330"/>
      <c r="P272" s="330"/>
      <c r="Q272" s="330"/>
      <c r="R272" s="331"/>
      <c r="S272" s="70" t="s">
        <v>501</v>
      </c>
      <c r="T272" s="71" t="s">
        <v>153</v>
      </c>
      <c r="U272" s="41" t="s">
        <v>20</v>
      </c>
      <c r="V272" s="63"/>
    </row>
    <row r="273" spans="1:22" ht="45" customHeight="1">
      <c r="A273" s="61" t="b">
        <v>0</v>
      </c>
      <c r="B273" s="62" t="s">
        <v>118</v>
      </c>
      <c r="C273" s="62"/>
      <c r="D273" s="62" t="b">
        <v>1</v>
      </c>
      <c r="E273" s="62" t="b">
        <v>1</v>
      </c>
      <c r="F273" s="71" t="s">
        <v>502</v>
      </c>
      <c r="G273" s="329"/>
      <c r="H273" s="330"/>
      <c r="I273" s="330"/>
      <c r="J273" s="330"/>
      <c r="K273" s="330"/>
      <c r="L273" s="330"/>
      <c r="M273" s="330"/>
      <c r="N273" s="330"/>
      <c r="O273" s="330"/>
      <c r="P273" s="330"/>
      <c r="Q273" s="330"/>
      <c r="R273" s="331"/>
      <c r="S273" s="70" t="s">
        <v>503</v>
      </c>
      <c r="T273" s="71" t="s">
        <v>153</v>
      </c>
      <c r="U273" s="41" t="s">
        <v>20</v>
      </c>
      <c r="V273" s="63"/>
    </row>
    <row r="274" spans="1:22" ht="32.25" customHeight="1">
      <c r="A274" s="61"/>
      <c r="B274" s="62"/>
      <c r="C274" s="62"/>
      <c r="D274" s="62"/>
      <c r="E274" s="62"/>
      <c r="F274" s="71" t="s">
        <v>504</v>
      </c>
      <c r="G274" s="329"/>
      <c r="H274" s="330"/>
      <c r="I274" s="330"/>
      <c r="J274" s="330"/>
      <c r="K274" s="330"/>
      <c r="L274" s="330"/>
      <c r="M274" s="330"/>
      <c r="N274" s="330"/>
      <c r="O274" s="330"/>
      <c r="P274" s="330"/>
      <c r="Q274" s="330"/>
      <c r="R274" s="331"/>
      <c r="S274" s="70" t="s">
        <v>505</v>
      </c>
      <c r="T274" s="71"/>
      <c r="U274" s="41"/>
      <c r="V274" s="63"/>
    </row>
    <row r="275" spans="1:22">
      <c r="A275" s="61" t="b">
        <v>0</v>
      </c>
      <c r="B275" s="62" t="s">
        <v>118</v>
      </c>
      <c r="C275" s="62"/>
      <c r="D275" s="62" t="b">
        <v>0</v>
      </c>
      <c r="E275" s="62" t="b">
        <v>1</v>
      </c>
      <c r="F275" s="71" t="s">
        <v>506</v>
      </c>
      <c r="G275" s="329"/>
      <c r="H275" s="330"/>
      <c r="I275" s="330"/>
      <c r="J275" s="330"/>
      <c r="K275" s="330"/>
      <c r="L275" s="330"/>
      <c r="M275" s="330"/>
      <c r="N275" s="330"/>
      <c r="O275" s="330"/>
      <c r="P275" s="330"/>
      <c r="Q275" s="330"/>
      <c r="R275" s="331"/>
      <c r="S275" s="70" t="s">
        <v>507</v>
      </c>
      <c r="T275" s="71" t="s">
        <v>153</v>
      </c>
      <c r="U275" s="41" t="s">
        <v>20</v>
      </c>
      <c r="V275" s="63"/>
    </row>
    <row r="276" spans="1:22">
      <c r="A276" s="61" t="b">
        <v>0</v>
      </c>
      <c r="B276" s="62" t="s">
        <v>118</v>
      </c>
      <c r="C276" s="62"/>
      <c r="D276" s="62" t="b">
        <v>1</v>
      </c>
      <c r="E276" s="62" t="b">
        <v>1</v>
      </c>
      <c r="F276" s="71" t="s">
        <v>34</v>
      </c>
      <c r="G276" s="323" t="s">
        <v>508</v>
      </c>
      <c r="H276" s="324"/>
      <c r="I276" s="324"/>
      <c r="J276" s="324"/>
      <c r="K276" s="324"/>
      <c r="L276" s="324"/>
      <c r="M276" s="324"/>
      <c r="N276" s="324"/>
      <c r="O276" s="324"/>
      <c r="P276" s="324"/>
      <c r="Q276" s="324"/>
      <c r="R276" s="325"/>
      <c r="S276" s="70"/>
      <c r="T276" s="71" t="s">
        <v>153</v>
      </c>
      <c r="U276" s="41" t="s">
        <v>127</v>
      </c>
      <c r="V276" s="63"/>
    </row>
    <row r="277" spans="1:22">
      <c r="A277" s="61" t="b">
        <v>0</v>
      </c>
      <c r="B277" s="62" t="s">
        <v>118</v>
      </c>
      <c r="C277" s="62"/>
      <c r="D277" s="62" t="b">
        <v>1</v>
      </c>
      <c r="E277" s="62" t="b">
        <v>1</v>
      </c>
      <c r="F277" s="71" t="s">
        <v>506</v>
      </c>
      <c r="G277" s="314" t="s">
        <v>509</v>
      </c>
      <c r="H277" s="315"/>
      <c r="I277" s="315"/>
      <c r="J277" s="315"/>
      <c r="K277" s="315"/>
      <c r="L277" s="315"/>
      <c r="M277" s="315"/>
      <c r="N277" s="315"/>
      <c r="O277" s="315"/>
      <c r="P277" s="315"/>
      <c r="Q277" s="315"/>
      <c r="R277" s="316"/>
      <c r="S277" s="70" t="s">
        <v>510</v>
      </c>
      <c r="T277" s="71" t="s">
        <v>153</v>
      </c>
      <c r="U277" s="41" t="s">
        <v>127</v>
      </c>
      <c r="V277" s="63"/>
    </row>
    <row r="278" spans="1:22">
      <c r="A278" s="61" t="b">
        <v>0</v>
      </c>
      <c r="B278" s="62"/>
      <c r="C278" s="62"/>
      <c r="D278" s="62" t="b">
        <v>1</v>
      </c>
      <c r="E278" s="62" t="b">
        <v>1</v>
      </c>
      <c r="F278" s="71" t="s">
        <v>511</v>
      </c>
      <c r="G278" s="314"/>
      <c r="H278" s="315"/>
      <c r="I278" s="315"/>
      <c r="J278" s="315"/>
      <c r="K278" s="315"/>
      <c r="L278" s="315"/>
      <c r="M278" s="315"/>
      <c r="N278" s="315"/>
      <c r="O278" s="315"/>
      <c r="P278" s="315"/>
      <c r="Q278" s="315"/>
      <c r="R278" s="316"/>
      <c r="S278" s="70" t="s">
        <v>512</v>
      </c>
      <c r="T278" s="71" t="s">
        <v>153</v>
      </c>
      <c r="U278" s="41" t="s">
        <v>20</v>
      </c>
      <c r="V278" s="63"/>
    </row>
    <row r="279" spans="1:22">
      <c r="A279" s="61"/>
      <c r="B279" s="62"/>
      <c r="C279" s="62"/>
      <c r="D279" s="62" t="b">
        <v>1</v>
      </c>
      <c r="E279" s="62" t="b">
        <v>1</v>
      </c>
      <c r="F279" s="71" t="s">
        <v>513</v>
      </c>
      <c r="G279" s="317"/>
      <c r="H279" s="318"/>
      <c r="I279" s="318"/>
      <c r="J279" s="318"/>
      <c r="K279" s="318"/>
      <c r="L279" s="318"/>
      <c r="M279" s="318"/>
      <c r="N279" s="318"/>
      <c r="O279" s="318"/>
      <c r="P279" s="318"/>
      <c r="Q279" s="318"/>
      <c r="R279" s="319"/>
      <c r="S279" s="70" t="s">
        <v>514</v>
      </c>
      <c r="T279" s="71" t="s">
        <v>153</v>
      </c>
      <c r="U279" s="41" t="s">
        <v>20</v>
      </c>
      <c r="V279" s="63"/>
    </row>
    <row r="280" spans="1:22">
      <c r="A280" s="61"/>
      <c r="B280" s="62"/>
      <c r="C280" s="62"/>
      <c r="D280" s="62" t="b">
        <v>1</v>
      </c>
      <c r="E280" s="62" t="b">
        <v>1</v>
      </c>
      <c r="F280" s="71" t="s">
        <v>515</v>
      </c>
      <c r="G280" s="323"/>
      <c r="H280" s="324"/>
      <c r="I280" s="324"/>
      <c r="J280" s="324"/>
      <c r="K280" s="324"/>
      <c r="L280" s="324"/>
      <c r="M280" s="324"/>
      <c r="N280" s="324"/>
      <c r="O280" s="324"/>
      <c r="P280" s="324"/>
      <c r="Q280" s="324"/>
      <c r="R280" s="325"/>
      <c r="S280" s="70" t="s">
        <v>516</v>
      </c>
      <c r="T280" s="71" t="s">
        <v>153</v>
      </c>
      <c r="U280" s="41" t="s">
        <v>20</v>
      </c>
      <c r="V280" s="63"/>
    </row>
    <row r="281" spans="1:22">
      <c r="A281" s="61"/>
      <c r="B281" s="62"/>
      <c r="C281" s="62"/>
      <c r="D281" s="62"/>
      <c r="E281" s="62" t="b">
        <v>1</v>
      </c>
      <c r="F281" s="71" t="s">
        <v>34</v>
      </c>
      <c r="G281" s="323" t="s">
        <v>517</v>
      </c>
      <c r="H281" s="324"/>
      <c r="I281" s="324"/>
      <c r="J281" s="324"/>
      <c r="K281" s="324"/>
      <c r="L281" s="324"/>
      <c r="M281" s="324"/>
      <c r="N281" s="324"/>
      <c r="O281" s="324"/>
      <c r="P281" s="324"/>
      <c r="Q281" s="324"/>
      <c r="R281" s="325"/>
      <c r="S281" s="70"/>
      <c r="T281" s="71"/>
      <c r="U281" s="41" t="s">
        <v>127</v>
      </c>
      <c r="V281" s="63"/>
    </row>
    <row r="282" spans="1:22">
      <c r="A282" s="61"/>
      <c r="B282" s="62"/>
      <c r="C282" s="62"/>
      <c r="D282" s="62" t="b">
        <v>1</v>
      </c>
      <c r="E282" s="62" t="b">
        <v>1</v>
      </c>
      <c r="F282" s="71" t="s">
        <v>518</v>
      </c>
      <c r="G282" s="317" t="s">
        <v>519</v>
      </c>
      <c r="H282" s="318"/>
      <c r="I282" s="318"/>
      <c r="J282" s="318"/>
      <c r="K282" s="318"/>
      <c r="L282" s="318"/>
      <c r="M282" s="318"/>
      <c r="N282" s="318"/>
      <c r="O282" s="318"/>
      <c r="P282" s="318"/>
      <c r="Q282" s="318"/>
      <c r="R282" s="319"/>
      <c r="S282" s="70" t="s">
        <v>520</v>
      </c>
      <c r="T282" s="71" t="s">
        <v>153</v>
      </c>
      <c r="U282" s="41" t="s">
        <v>127</v>
      </c>
      <c r="V282" s="63"/>
    </row>
    <row r="283" spans="1:22">
      <c r="A283" s="61"/>
      <c r="B283" s="62"/>
      <c r="C283" s="62"/>
      <c r="D283" s="62" t="b">
        <v>1</v>
      </c>
      <c r="E283" s="62" t="b">
        <v>1</v>
      </c>
      <c r="F283" s="71" t="s">
        <v>521</v>
      </c>
      <c r="G283" s="317"/>
      <c r="H283" s="318"/>
      <c r="I283" s="318"/>
      <c r="J283" s="318"/>
      <c r="K283" s="318"/>
      <c r="L283" s="318"/>
      <c r="M283" s="318"/>
      <c r="N283" s="318"/>
      <c r="O283" s="318"/>
      <c r="P283" s="318"/>
      <c r="Q283" s="318"/>
      <c r="R283" s="319"/>
      <c r="S283" s="70" t="s">
        <v>522</v>
      </c>
      <c r="T283" s="71" t="s">
        <v>153</v>
      </c>
      <c r="U283" s="41" t="s">
        <v>20</v>
      </c>
      <c r="V283" s="63"/>
    </row>
    <row r="284" spans="1:22">
      <c r="A284" s="61" t="b">
        <v>0</v>
      </c>
      <c r="B284" s="62"/>
      <c r="C284" s="62"/>
      <c r="D284" s="62" t="b">
        <v>0</v>
      </c>
      <c r="E284" s="62" t="b">
        <v>1</v>
      </c>
      <c r="F284" s="71" t="s">
        <v>34</v>
      </c>
      <c r="G284" s="326" t="s">
        <v>523</v>
      </c>
      <c r="H284" s="327"/>
      <c r="I284" s="327"/>
      <c r="J284" s="327"/>
      <c r="K284" s="327"/>
      <c r="L284" s="327"/>
      <c r="M284" s="327"/>
      <c r="N284" s="327"/>
      <c r="O284" s="327"/>
      <c r="P284" s="327"/>
      <c r="Q284" s="327"/>
      <c r="R284" s="328"/>
      <c r="S284" s="70"/>
      <c r="T284" s="71"/>
      <c r="U284" s="41" t="s">
        <v>127</v>
      </c>
      <c r="V284" s="63"/>
    </row>
    <row r="285" spans="1:22">
      <c r="A285" s="61" t="b">
        <v>0</v>
      </c>
      <c r="B285" s="62" t="s">
        <v>492</v>
      </c>
      <c r="C285" s="62"/>
      <c r="D285" s="62" t="b">
        <v>1</v>
      </c>
      <c r="E285" s="62" t="b">
        <v>1</v>
      </c>
      <c r="F285" s="71" t="s">
        <v>524</v>
      </c>
      <c r="G285" s="317" t="s">
        <v>525</v>
      </c>
      <c r="H285" s="318"/>
      <c r="I285" s="318"/>
      <c r="J285" s="318"/>
      <c r="K285" s="318"/>
      <c r="L285" s="318"/>
      <c r="M285" s="318"/>
      <c r="N285" s="318"/>
      <c r="O285" s="318"/>
      <c r="P285" s="318"/>
      <c r="Q285" s="318"/>
      <c r="R285" s="319"/>
      <c r="S285" s="70" t="s">
        <v>526</v>
      </c>
      <c r="T285" s="71" t="s">
        <v>153</v>
      </c>
      <c r="U285" s="41" t="s">
        <v>127</v>
      </c>
      <c r="V285" s="63"/>
    </row>
    <row r="286" spans="1:22">
      <c r="A286" s="61" t="b">
        <v>0</v>
      </c>
      <c r="B286" s="62" t="s">
        <v>492</v>
      </c>
      <c r="C286" s="62"/>
      <c r="D286" s="62" t="b">
        <v>1</v>
      </c>
      <c r="E286" s="62" t="b">
        <v>1</v>
      </c>
      <c r="F286" s="71" t="s">
        <v>527</v>
      </c>
      <c r="G286" s="320"/>
      <c r="H286" s="321"/>
      <c r="I286" s="321"/>
      <c r="J286" s="321"/>
      <c r="K286" s="321"/>
      <c r="L286" s="321"/>
      <c r="M286" s="321"/>
      <c r="N286" s="321"/>
      <c r="O286" s="321"/>
      <c r="P286" s="321"/>
      <c r="Q286" s="321"/>
      <c r="R286" s="322"/>
      <c r="S286" s="70"/>
      <c r="T286" s="71"/>
      <c r="U286" s="41"/>
      <c r="V286" s="63"/>
    </row>
    <row r="287" spans="1:22">
      <c r="A287" s="61" t="b">
        <v>0</v>
      </c>
      <c r="B287" s="62" t="s">
        <v>492</v>
      </c>
      <c r="C287" s="62"/>
      <c r="D287" s="62" t="b">
        <v>1</v>
      </c>
      <c r="E287" s="62" t="b">
        <v>1</v>
      </c>
      <c r="F287" s="71" t="s">
        <v>528</v>
      </c>
      <c r="G287" s="314"/>
      <c r="H287" s="315"/>
      <c r="I287" s="315"/>
      <c r="J287" s="315"/>
      <c r="K287" s="315"/>
      <c r="L287" s="315"/>
      <c r="M287" s="315"/>
      <c r="N287" s="315"/>
      <c r="O287" s="315"/>
      <c r="P287" s="315"/>
      <c r="Q287" s="315"/>
      <c r="R287" s="316"/>
      <c r="S287" s="70"/>
      <c r="T287" s="71"/>
      <c r="U287" s="41"/>
      <c r="V287" s="63"/>
    </row>
    <row r="288" spans="1:22">
      <c r="A288" s="61" t="b">
        <v>0</v>
      </c>
      <c r="B288" s="62" t="s">
        <v>118</v>
      </c>
      <c r="C288" s="62"/>
      <c r="D288" s="62" t="b">
        <v>0</v>
      </c>
      <c r="E288" s="62" t="b">
        <v>1</v>
      </c>
      <c r="F288" s="71" t="s">
        <v>34</v>
      </c>
      <c r="G288" s="323" t="s">
        <v>529</v>
      </c>
      <c r="H288" s="324"/>
      <c r="I288" s="324"/>
      <c r="J288" s="324"/>
      <c r="K288" s="324"/>
      <c r="L288" s="324"/>
      <c r="M288" s="324"/>
      <c r="N288" s="324"/>
      <c r="O288" s="324"/>
      <c r="P288" s="324"/>
      <c r="Q288" s="324"/>
      <c r="R288" s="325"/>
      <c r="S288" s="70"/>
      <c r="T288" s="71"/>
      <c r="U288" s="41"/>
      <c r="V288" s="63"/>
    </row>
    <row r="289" spans="1:22">
      <c r="A289" s="61" t="b">
        <v>0</v>
      </c>
      <c r="B289" s="62" t="s">
        <v>530</v>
      </c>
      <c r="C289" s="62"/>
      <c r="D289" s="62" t="b">
        <v>1</v>
      </c>
      <c r="E289" s="62" t="b">
        <v>1</v>
      </c>
      <c r="F289" s="71" t="s">
        <v>531</v>
      </c>
      <c r="G289" s="314"/>
      <c r="H289" s="315"/>
      <c r="I289" s="315"/>
      <c r="J289" s="315"/>
      <c r="K289" s="315"/>
      <c r="L289" s="315"/>
      <c r="M289" s="315"/>
      <c r="N289" s="315"/>
      <c r="O289" s="315"/>
      <c r="P289" s="315"/>
      <c r="Q289" s="315"/>
      <c r="R289" s="316"/>
      <c r="S289" s="70" t="s">
        <v>532</v>
      </c>
      <c r="T289" s="71" t="s">
        <v>153</v>
      </c>
      <c r="U289" s="41" t="s">
        <v>20</v>
      </c>
      <c r="V289" s="63"/>
    </row>
    <row r="290" spans="1:22">
      <c r="A290" s="61" t="b">
        <v>0</v>
      </c>
      <c r="B290" s="62" t="s">
        <v>530</v>
      </c>
      <c r="C290" s="62"/>
      <c r="D290" s="62" t="b">
        <v>1</v>
      </c>
      <c r="E290" s="62" t="b">
        <v>1</v>
      </c>
      <c r="F290" s="71" t="s">
        <v>533</v>
      </c>
      <c r="G290" s="314"/>
      <c r="H290" s="315"/>
      <c r="I290" s="315"/>
      <c r="J290" s="315"/>
      <c r="K290" s="315"/>
      <c r="L290" s="315"/>
      <c r="M290" s="315"/>
      <c r="N290" s="315"/>
      <c r="O290" s="315"/>
      <c r="P290" s="315"/>
      <c r="Q290" s="315"/>
      <c r="R290" s="316"/>
      <c r="S290" s="70" t="s">
        <v>534</v>
      </c>
      <c r="T290" s="71" t="s">
        <v>153</v>
      </c>
      <c r="U290" s="41" t="s">
        <v>20</v>
      </c>
      <c r="V290" s="63"/>
    </row>
    <row r="291" spans="1:22">
      <c r="A291" s="61" t="b">
        <v>1</v>
      </c>
      <c r="B291" s="62" t="s">
        <v>530</v>
      </c>
      <c r="C291" s="62"/>
      <c r="D291" s="62" t="b">
        <v>0</v>
      </c>
      <c r="E291" s="62" t="b">
        <v>1</v>
      </c>
      <c r="F291" s="71" t="s">
        <v>535</v>
      </c>
      <c r="G291" s="314"/>
      <c r="H291" s="315"/>
      <c r="I291" s="315"/>
      <c r="J291" s="315"/>
      <c r="K291" s="315"/>
      <c r="L291" s="315"/>
      <c r="M291" s="315"/>
      <c r="N291" s="315"/>
      <c r="O291" s="315"/>
      <c r="P291" s="315"/>
      <c r="Q291" s="315"/>
      <c r="R291" s="316"/>
      <c r="S291" s="70"/>
      <c r="T291" s="71" t="s">
        <v>153</v>
      </c>
      <c r="U291" s="41" t="s">
        <v>20</v>
      </c>
      <c r="V291" s="63"/>
    </row>
    <row r="292" spans="1:22">
      <c r="A292" s="64"/>
      <c r="B292" s="65" t="s">
        <v>36</v>
      </c>
      <c r="C292" s="65"/>
      <c r="D292" s="65" t="b">
        <v>0</v>
      </c>
      <c r="E292" s="65" t="b">
        <v>1</v>
      </c>
      <c r="F292" s="65" t="s">
        <v>37</v>
      </c>
      <c r="G292" s="299"/>
      <c r="H292" s="300"/>
      <c r="I292" s="300"/>
      <c r="J292" s="300"/>
      <c r="K292" s="300"/>
      <c r="L292" s="300"/>
      <c r="M292" s="300"/>
      <c r="N292" s="300"/>
      <c r="O292" s="300"/>
      <c r="P292" s="300"/>
      <c r="Q292" s="300"/>
      <c r="R292" s="301"/>
      <c r="S292" s="152" t="s">
        <v>121</v>
      </c>
      <c r="T292" s="65"/>
      <c r="U292" s="66"/>
      <c r="V292" s="66"/>
    </row>
    <row r="293" spans="1:22" ht="72" customHeight="1">
      <c r="A293" s="61" t="b">
        <v>0</v>
      </c>
      <c r="B293" s="62" t="s">
        <v>38</v>
      </c>
      <c r="C293" s="62"/>
      <c r="D293" s="62" t="b">
        <v>1</v>
      </c>
      <c r="E293" s="62" t="b">
        <v>1</v>
      </c>
      <c r="F293" s="71"/>
      <c r="G293" s="284" t="s">
        <v>536</v>
      </c>
      <c r="H293" s="285"/>
      <c r="I293" s="285"/>
      <c r="J293" s="285"/>
      <c r="K293" s="285"/>
      <c r="L293" s="285"/>
      <c r="M293" s="285"/>
      <c r="N293" s="285"/>
      <c r="O293" s="285"/>
      <c r="P293" s="285"/>
      <c r="Q293" s="285"/>
      <c r="R293" s="286"/>
      <c r="S293" s="70" t="s">
        <v>537</v>
      </c>
      <c r="T293" s="71" t="s">
        <v>160</v>
      </c>
      <c r="U293" s="41" t="s">
        <v>20</v>
      </c>
      <c r="V293" s="99" t="s">
        <v>161</v>
      </c>
    </row>
    <row r="294" spans="1:22" ht="60.75" customHeight="1">
      <c r="A294" s="61"/>
      <c r="B294" s="62"/>
      <c r="C294" s="62"/>
      <c r="D294" s="62"/>
      <c r="E294" s="62"/>
      <c r="F294" s="71"/>
      <c r="G294" s="284" t="s">
        <v>538</v>
      </c>
      <c r="H294" s="285"/>
      <c r="I294" s="285"/>
      <c r="J294" s="285"/>
      <c r="K294" s="285"/>
      <c r="L294" s="285"/>
      <c r="M294" s="285"/>
      <c r="N294" s="285"/>
      <c r="O294" s="285"/>
      <c r="P294" s="285"/>
      <c r="Q294" s="285"/>
      <c r="R294" s="286"/>
      <c r="S294" s="70" t="s">
        <v>539</v>
      </c>
      <c r="T294" s="71"/>
      <c r="U294" s="41"/>
      <c r="V294" s="99"/>
    </row>
    <row r="295" spans="1:22" ht="43.5">
      <c r="A295" s="61"/>
      <c r="B295" s="62"/>
      <c r="C295" s="62"/>
      <c r="D295" s="62"/>
      <c r="E295" s="62"/>
      <c r="F295" s="71"/>
      <c r="G295" s="284" t="s">
        <v>540</v>
      </c>
      <c r="H295" s="285"/>
      <c r="I295" s="285"/>
      <c r="J295" s="285"/>
      <c r="K295" s="285"/>
      <c r="L295" s="285"/>
      <c r="M295" s="285"/>
      <c r="N295" s="285"/>
      <c r="O295" s="285"/>
      <c r="P295" s="285"/>
      <c r="Q295" s="285"/>
      <c r="R295" s="286"/>
      <c r="S295" s="70" t="s">
        <v>541</v>
      </c>
      <c r="T295" s="71"/>
      <c r="U295" s="41"/>
      <c r="V295" s="99"/>
    </row>
    <row r="296" spans="1:22" ht="97.5" customHeight="1">
      <c r="A296" s="61" t="b">
        <v>0</v>
      </c>
      <c r="B296" s="62" t="s">
        <v>38</v>
      </c>
      <c r="C296" s="62"/>
      <c r="D296" s="62" t="b">
        <v>1</v>
      </c>
      <c r="E296" s="62" t="b">
        <v>1</v>
      </c>
      <c r="F296" s="71"/>
      <c r="G296" s="284" t="s">
        <v>542</v>
      </c>
      <c r="H296" s="285"/>
      <c r="I296" s="285"/>
      <c r="J296" s="285"/>
      <c r="K296" s="285"/>
      <c r="L296" s="285"/>
      <c r="M296" s="285"/>
      <c r="N296" s="285"/>
      <c r="O296" s="285"/>
      <c r="P296" s="285"/>
      <c r="Q296" s="285"/>
      <c r="R296" s="286"/>
      <c r="S296" s="70" t="s">
        <v>543</v>
      </c>
      <c r="T296" s="71" t="s">
        <v>160</v>
      </c>
      <c r="U296" s="41" t="s">
        <v>20</v>
      </c>
      <c r="V296" s="99" t="s">
        <v>161</v>
      </c>
    </row>
    <row r="297" spans="1:22" ht="75.75" customHeight="1">
      <c r="A297" s="61" t="b">
        <v>0</v>
      </c>
      <c r="B297" s="62" t="s">
        <v>38</v>
      </c>
      <c r="C297" s="62"/>
      <c r="D297" s="62" t="b">
        <v>1</v>
      </c>
      <c r="E297" s="62" t="b">
        <v>1</v>
      </c>
      <c r="F297" s="71"/>
      <c r="G297" s="284"/>
      <c r="H297" s="285"/>
      <c r="I297" s="285"/>
      <c r="J297" s="285"/>
      <c r="K297" s="285"/>
      <c r="L297" s="285"/>
      <c r="M297" s="285"/>
      <c r="N297" s="285"/>
      <c r="O297" s="285"/>
      <c r="P297" s="285"/>
      <c r="Q297" s="285"/>
      <c r="R297" s="286"/>
      <c r="S297" s="70" t="s">
        <v>544</v>
      </c>
      <c r="T297" s="71" t="s">
        <v>160</v>
      </c>
      <c r="U297" s="41" t="s">
        <v>20</v>
      </c>
      <c r="V297" s="99" t="s">
        <v>161</v>
      </c>
    </row>
    <row r="298" spans="1:22" ht="39.75" customHeight="1">
      <c r="A298" s="61" t="b">
        <v>0</v>
      </c>
      <c r="B298" s="62" t="s">
        <v>38</v>
      </c>
      <c r="C298" s="62"/>
      <c r="D298" s="62" t="b">
        <v>1</v>
      </c>
      <c r="E298" s="62" t="b">
        <v>1</v>
      </c>
      <c r="F298" s="71"/>
      <c r="G298" s="284"/>
      <c r="H298" s="285"/>
      <c r="I298" s="285"/>
      <c r="J298" s="285"/>
      <c r="K298" s="285"/>
      <c r="L298" s="285"/>
      <c r="M298" s="285"/>
      <c r="N298" s="285"/>
      <c r="O298" s="285"/>
      <c r="P298" s="285"/>
      <c r="Q298" s="285"/>
      <c r="R298" s="286"/>
      <c r="S298" s="154" t="s">
        <v>545</v>
      </c>
      <c r="T298" s="71" t="s">
        <v>160</v>
      </c>
      <c r="U298" s="41" t="s">
        <v>20</v>
      </c>
      <c r="V298" s="99" t="s">
        <v>161</v>
      </c>
    </row>
    <row r="299" spans="1:22" ht="159" customHeight="1">
      <c r="A299" s="61"/>
      <c r="B299" s="62"/>
      <c r="C299" s="62"/>
      <c r="D299" s="62"/>
      <c r="E299" s="62"/>
      <c r="F299" s="71"/>
      <c r="G299" s="284"/>
      <c r="H299" s="285"/>
      <c r="I299" s="285"/>
      <c r="J299" s="285"/>
      <c r="K299" s="285"/>
      <c r="L299" s="285"/>
      <c r="M299" s="285"/>
      <c r="N299" s="285"/>
      <c r="O299" s="285"/>
      <c r="P299" s="285"/>
      <c r="Q299" s="285"/>
      <c r="R299" s="286"/>
      <c r="S299" s="154" t="s">
        <v>546</v>
      </c>
      <c r="T299" s="71"/>
      <c r="U299" s="41"/>
      <c r="V299" s="99"/>
    </row>
    <row r="300" spans="1:22" ht="29">
      <c r="A300" s="61"/>
      <c r="B300" s="62"/>
      <c r="C300" s="62"/>
      <c r="D300" s="62"/>
      <c r="E300" s="62"/>
      <c r="F300" s="71"/>
      <c r="G300" s="284"/>
      <c r="H300" s="285"/>
      <c r="I300" s="285"/>
      <c r="J300" s="285"/>
      <c r="K300" s="285"/>
      <c r="L300" s="285"/>
      <c r="M300" s="285"/>
      <c r="N300" s="285"/>
      <c r="O300" s="285"/>
      <c r="P300" s="285"/>
      <c r="Q300" s="285"/>
      <c r="R300" s="286"/>
      <c r="S300" s="154" t="s">
        <v>547</v>
      </c>
      <c r="T300" s="71"/>
      <c r="U300" s="41"/>
      <c r="V300" s="99"/>
    </row>
    <row r="301" spans="1:22" ht="58">
      <c r="A301" s="61"/>
      <c r="B301" s="62"/>
      <c r="C301" s="62"/>
      <c r="D301" s="62"/>
      <c r="E301" s="62"/>
      <c r="F301" s="71"/>
      <c r="G301" s="284"/>
      <c r="H301" s="285"/>
      <c r="I301" s="285"/>
      <c r="J301" s="285"/>
      <c r="K301" s="285"/>
      <c r="L301" s="285"/>
      <c r="M301" s="285"/>
      <c r="N301" s="285"/>
      <c r="O301" s="285"/>
      <c r="P301" s="285"/>
      <c r="Q301" s="285"/>
      <c r="R301" s="286"/>
      <c r="S301" s="154" t="s">
        <v>250</v>
      </c>
      <c r="T301" s="71"/>
      <c r="U301" s="41"/>
      <c r="V301" s="99"/>
    </row>
    <row r="302" spans="1:22" ht="58">
      <c r="A302" s="61"/>
      <c r="B302" s="62"/>
      <c r="C302" s="62"/>
      <c r="D302" s="62"/>
      <c r="E302" s="62"/>
      <c r="F302" s="71"/>
      <c r="G302" s="284"/>
      <c r="H302" s="285"/>
      <c r="I302" s="285"/>
      <c r="J302" s="285"/>
      <c r="K302" s="285"/>
      <c r="L302" s="285"/>
      <c r="M302" s="285"/>
      <c r="N302" s="285"/>
      <c r="O302" s="285"/>
      <c r="P302" s="285"/>
      <c r="Q302" s="285"/>
      <c r="R302" s="286"/>
      <c r="S302" s="154" t="s">
        <v>251</v>
      </c>
      <c r="T302" s="71"/>
      <c r="U302" s="41"/>
      <c r="V302" s="99"/>
    </row>
    <row r="303" spans="1:22" ht="29">
      <c r="A303" s="52" t="s">
        <v>4</v>
      </c>
      <c r="B303" s="52" t="s">
        <v>5</v>
      </c>
      <c r="C303" s="52" t="s">
        <v>6</v>
      </c>
      <c r="D303" s="52" t="s">
        <v>113</v>
      </c>
      <c r="E303" s="52" t="s">
        <v>114</v>
      </c>
      <c r="F303" s="52" t="s">
        <v>9</v>
      </c>
      <c r="G303" s="287" t="s">
        <v>10</v>
      </c>
      <c r="H303" s="288"/>
      <c r="I303" s="288"/>
      <c r="J303" s="288"/>
      <c r="K303" s="288"/>
      <c r="L303" s="288"/>
      <c r="M303" s="288"/>
      <c r="N303" s="288"/>
      <c r="O303" s="288"/>
      <c r="P303" s="288"/>
      <c r="Q303" s="288"/>
      <c r="R303" s="289"/>
      <c r="S303" s="151"/>
      <c r="T303" s="52" t="s">
        <v>12</v>
      </c>
      <c r="U303" s="16" t="s">
        <v>13</v>
      </c>
      <c r="V303" s="16" t="s">
        <v>14</v>
      </c>
    </row>
    <row r="304" spans="1:22">
      <c r="A304" s="55"/>
      <c r="B304" s="56" t="s">
        <v>15</v>
      </c>
      <c r="C304" s="56"/>
      <c r="D304" s="56" t="b">
        <v>0</v>
      </c>
      <c r="E304" s="56" t="b">
        <v>1</v>
      </c>
      <c r="F304" s="56"/>
      <c r="G304" s="290" t="s">
        <v>548</v>
      </c>
      <c r="H304" s="291"/>
      <c r="I304" s="291"/>
      <c r="J304" s="291"/>
      <c r="K304" s="291"/>
      <c r="L304" s="291"/>
      <c r="M304" s="291"/>
      <c r="N304" s="291"/>
      <c r="O304" s="291"/>
      <c r="P304" s="291"/>
      <c r="Q304" s="291"/>
      <c r="R304" s="292"/>
      <c r="S304" s="72"/>
      <c r="T304" s="56"/>
      <c r="U304" s="57"/>
      <c r="V304" s="57"/>
    </row>
    <row r="305" spans="1:22" ht="21.75" hidden="1" customHeight="1">
      <c r="A305" s="58"/>
      <c r="B305" s="59" t="s">
        <v>17</v>
      </c>
      <c r="C305" s="59"/>
      <c r="D305" s="59" t="b">
        <v>0</v>
      </c>
      <c r="E305" s="59" t="b">
        <v>1</v>
      </c>
      <c r="F305" s="59" t="s">
        <v>18</v>
      </c>
      <c r="G305" s="293" t="s">
        <v>549</v>
      </c>
      <c r="H305" s="294"/>
      <c r="I305" s="294"/>
      <c r="J305" s="294"/>
      <c r="K305" s="294"/>
      <c r="L305" s="294"/>
      <c r="M305" s="294"/>
      <c r="N305" s="294"/>
      <c r="O305" s="294"/>
      <c r="P305" s="294"/>
      <c r="Q305" s="294"/>
      <c r="R305" s="295"/>
      <c r="S305" s="73" t="s">
        <v>550</v>
      </c>
      <c r="T305" s="59"/>
      <c r="U305" s="59"/>
      <c r="V305" s="60"/>
    </row>
    <row r="306" spans="1:22" hidden="1">
      <c r="A306" s="61" t="b">
        <v>1</v>
      </c>
      <c r="B306" s="62" t="s">
        <v>21</v>
      </c>
      <c r="C306" s="62"/>
      <c r="D306" s="62" t="b">
        <v>0</v>
      </c>
      <c r="E306" s="62" t="b">
        <v>1</v>
      </c>
      <c r="F306" s="71" t="s">
        <v>22</v>
      </c>
      <c r="G306" s="54" t="s">
        <v>57</v>
      </c>
      <c r="H306" s="54"/>
      <c r="I306" s="54"/>
      <c r="J306" s="54"/>
      <c r="K306" s="54"/>
      <c r="L306" s="54"/>
      <c r="M306" s="54"/>
      <c r="N306" s="54"/>
      <c r="O306" s="54"/>
      <c r="P306" s="54"/>
      <c r="Q306" s="54"/>
      <c r="R306" s="54"/>
      <c r="S306" s="70"/>
      <c r="T306" s="71"/>
      <c r="U306" s="54"/>
      <c r="V306" s="63"/>
    </row>
    <row r="307" spans="1:22" hidden="1">
      <c r="A307" s="61" t="b">
        <v>0</v>
      </c>
      <c r="B307" s="62" t="s">
        <v>24</v>
      </c>
      <c r="C307" s="62"/>
      <c r="D307" s="62" t="b">
        <v>0</v>
      </c>
      <c r="E307" s="62" t="b">
        <v>1</v>
      </c>
      <c r="F307" s="71" t="s">
        <v>25</v>
      </c>
      <c r="G307" s="54">
        <v>1</v>
      </c>
      <c r="H307" s="54"/>
      <c r="I307" s="54"/>
      <c r="J307" s="54"/>
      <c r="K307" s="54"/>
      <c r="L307" s="54"/>
      <c r="M307" s="54"/>
      <c r="N307" s="54"/>
      <c r="O307" s="54"/>
      <c r="P307" s="54"/>
      <c r="Q307" s="54"/>
      <c r="R307" s="54"/>
      <c r="S307" s="70"/>
      <c r="T307" s="71"/>
      <c r="U307" s="54"/>
      <c r="V307" s="63"/>
    </row>
    <row r="308" spans="1:22" hidden="1">
      <c r="A308" s="61" t="b">
        <v>0</v>
      </c>
      <c r="B308" s="62" t="s">
        <v>26</v>
      </c>
      <c r="C308" s="62"/>
      <c r="D308" s="62" t="b">
        <v>0</v>
      </c>
      <c r="E308" s="62" t="b">
        <v>1</v>
      </c>
      <c r="F308" s="71" t="s">
        <v>27</v>
      </c>
      <c r="G308" s="54"/>
      <c r="H308" s="54"/>
      <c r="I308" s="54"/>
      <c r="J308" s="54"/>
      <c r="K308" s="54"/>
      <c r="L308" s="54"/>
      <c r="M308" s="54"/>
      <c r="N308" s="54"/>
      <c r="O308" s="54"/>
      <c r="P308" s="54"/>
      <c r="Q308" s="54"/>
      <c r="R308" s="54"/>
      <c r="S308" s="70"/>
      <c r="T308" s="71"/>
      <c r="U308" s="54"/>
      <c r="V308" s="63"/>
    </row>
    <row r="309" spans="1:22" hidden="1">
      <c r="A309" s="61" t="b">
        <v>1</v>
      </c>
      <c r="B309" s="62" t="s">
        <v>28</v>
      </c>
      <c r="C309" s="62"/>
      <c r="D309" s="62" t="b">
        <v>0</v>
      </c>
      <c r="E309" s="62" t="b">
        <v>1</v>
      </c>
      <c r="F309" s="71" t="s">
        <v>47</v>
      </c>
      <c r="G309" s="54"/>
      <c r="H309" s="54"/>
      <c r="I309" s="54"/>
      <c r="J309" s="54"/>
      <c r="K309" s="54"/>
      <c r="L309" s="54"/>
      <c r="M309" s="54"/>
      <c r="N309" s="54"/>
      <c r="O309" s="54"/>
      <c r="P309" s="54"/>
      <c r="Q309" s="54"/>
      <c r="R309" s="54"/>
      <c r="S309" s="70"/>
      <c r="T309" s="71"/>
      <c r="U309" s="54"/>
      <c r="V309" s="63"/>
    </row>
    <row r="310" spans="1:22" hidden="1">
      <c r="A310" s="64"/>
      <c r="B310" s="65" t="s">
        <v>31</v>
      </c>
      <c r="C310" s="65"/>
      <c r="D310" s="65" t="b">
        <v>0</v>
      </c>
      <c r="E310" s="65" t="b">
        <v>1</v>
      </c>
      <c r="F310" s="65" t="s">
        <v>32</v>
      </c>
      <c r="G310" s="65"/>
      <c r="H310" s="65"/>
      <c r="I310" s="65"/>
      <c r="J310" s="65"/>
      <c r="K310" s="65"/>
      <c r="L310" s="65"/>
      <c r="M310" s="65"/>
      <c r="N310" s="65"/>
      <c r="O310" s="65"/>
      <c r="P310" s="65"/>
      <c r="Q310" s="65"/>
      <c r="R310" s="65"/>
      <c r="S310" s="152" t="s">
        <v>121</v>
      </c>
      <c r="T310" s="65"/>
      <c r="U310" s="65"/>
      <c r="V310" s="65"/>
    </row>
    <row r="311" spans="1:22" ht="29" hidden="1">
      <c r="A311" s="61" t="b">
        <v>1</v>
      </c>
      <c r="B311" s="62" t="s">
        <v>35</v>
      </c>
      <c r="C311" s="62"/>
      <c r="D311" s="62" t="b">
        <v>0</v>
      </c>
      <c r="E311" s="62" t="b">
        <v>1</v>
      </c>
      <c r="F311" s="71" t="s">
        <v>34</v>
      </c>
      <c r="G311" s="69" t="s">
        <v>549</v>
      </c>
      <c r="H311" s="69"/>
      <c r="I311" s="69"/>
      <c r="J311" s="69"/>
      <c r="K311" s="69"/>
      <c r="L311" s="69"/>
      <c r="M311" s="69"/>
      <c r="N311" s="69"/>
      <c r="O311" s="69"/>
      <c r="P311" s="69"/>
      <c r="Q311" s="69"/>
      <c r="R311" s="69"/>
      <c r="S311" s="70"/>
      <c r="T311" s="71" t="s">
        <v>120</v>
      </c>
      <c r="U311" s="41" t="s">
        <v>20</v>
      </c>
      <c r="V311" s="63"/>
    </row>
    <row r="312" spans="1:22">
      <c r="A312" s="61" t="b">
        <v>1</v>
      </c>
      <c r="B312" s="62" t="s">
        <v>551</v>
      </c>
      <c r="C312" s="62"/>
      <c r="D312" s="62" t="b">
        <v>1</v>
      </c>
      <c r="E312" s="62" t="b">
        <v>1</v>
      </c>
      <c r="F312" s="71" t="s">
        <v>552</v>
      </c>
      <c r="G312" s="329" t="s">
        <v>553</v>
      </c>
      <c r="H312" s="330"/>
      <c r="I312" s="330"/>
      <c r="J312" s="330"/>
      <c r="K312" s="330"/>
      <c r="L312" s="330"/>
      <c r="M312" s="330"/>
      <c r="N312" s="330"/>
      <c r="O312" s="330"/>
      <c r="P312" s="330"/>
      <c r="Q312" s="330"/>
      <c r="R312" s="331"/>
      <c r="S312" s="70" t="s">
        <v>553</v>
      </c>
      <c r="T312" s="71" t="s">
        <v>153</v>
      </c>
      <c r="U312" s="41" t="s">
        <v>127</v>
      </c>
      <c r="V312" s="63"/>
    </row>
    <row r="313" spans="1:22">
      <c r="A313" s="61" t="b">
        <v>1</v>
      </c>
      <c r="B313" s="62" t="s">
        <v>551</v>
      </c>
      <c r="C313" s="62"/>
      <c r="D313" s="62" t="b">
        <v>1</v>
      </c>
      <c r="E313" s="62" t="b">
        <v>1</v>
      </c>
      <c r="F313" s="71" t="s">
        <v>554</v>
      </c>
      <c r="G313" s="329" t="s">
        <v>555</v>
      </c>
      <c r="H313" s="330"/>
      <c r="I313" s="330"/>
      <c r="J313" s="330"/>
      <c r="K313" s="330"/>
      <c r="L313" s="330"/>
      <c r="M313" s="330"/>
      <c r="N313" s="330"/>
      <c r="O313" s="330"/>
      <c r="P313" s="330"/>
      <c r="Q313" s="330"/>
      <c r="R313" s="331"/>
      <c r="S313" s="70" t="s">
        <v>555</v>
      </c>
      <c r="T313" s="71" t="s">
        <v>153</v>
      </c>
      <c r="U313" s="41" t="s">
        <v>127</v>
      </c>
      <c r="V313" s="63"/>
    </row>
    <row r="314" spans="1:22">
      <c r="A314" s="61" t="b">
        <v>1</v>
      </c>
      <c r="B314" s="62" t="s">
        <v>551</v>
      </c>
      <c r="C314" s="62"/>
      <c r="D314" s="62" t="b">
        <v>1</v>
      </c>
      <c r="E314" s="62" t="b">
        <v>1</v>
      </c>
      <c r="F314" s="71" t="s">
        <v>556</v>
      </c>
      <c r="G314" s="329" t="s">
        <v>557</v>
      </c>
      <c r="H314" s="330"/>
      <c r="I314" s="330"/>
      <c r="J314" s="330"/>
      <c r="K314" s="330"/>
      <c r="L314" s="330"/>
      <c r="M314" s="330"/>
      <c r="N314" s="330"/>
      <c r="O314" s="330"/>
      <c r="P314" s="330"/>
      <c r="Q314" s="330"/>
      <c r="R314" s="331"/>
      <c r="S314" s="70" t="s">
        <v>557</v>
      </c>
      <c r="T314" s="71" t="s">
        <v>153</v>
      </c>
      <c r="U314" s="41" t="s">
        <v>127</v>
      </c>
      <c r="V314" s="63"/>
    </row>
    <row r="315" spans="1:22">
      <c r="A315" s="61"/>
      <c r="B315" s="62"/>
      <c r="C315" s="62"/>
      <c r="D315" s="62"/>
      <c r="E315" s="62"/>
      <c r="F315" s="71" t="s">
        <v>34</v>
      </c>
      <c r="G315" s="350" t="s">
        <v>558</v>
      </c>
      <c r="H315" s="351"/>
      <c r="I315" s="351"/>
      <c r="J315" s="351"/>
      <c r="K315" s="351"/>
      <c r="L315" s="351"/>
      <c r="M315" s="351"/>
      <c r="N315" s="351"/>
      <c r="O315" s="351"/>
      <c r="P315" s="351"/>
      <c r="Q315" s="351"/>
      <c r="R315" s="352"/>
      <c r="S315" s="70"/>
      <c r="T315" s="71"/>
      <c r="U315" s="41" t="s">
        <v>127</v>
      </c>
      <c r="V315" s="63"/>
    </row>
    <row r="316" spans="1:22">
      <c r="A316" s="61"/>
      <c r="B316" s="62"/>
      <c r="C316" s="62"/>
      <c r="D316" s="62"/>
      <c r="E316" s="62"/>
      <c r="F316" s="71" t="s">
        <v>559</v>
      </c>
      <c r="G316" s="375" t="s">
        <v>560</v>
      </c>
      <c r="H316" s="376"/>
      <c r="I316" s="376"/>
      <c r="J316" s="376"/>
      <c r="K316" s="376"/>
      <c r="L316" s="376"/>
      <c r="M316" s="376"/>
      <c r="N316" s="376"/>
      <c r="O316" s="376"/>
      <c r="P316" s="376"/>
      <c r="Q316" s="376"/>
      <c r="R316" s="377"/>
      <c r="S316" s="70" t="s">
        <v>560</v>
      </c>
      <c r="T316" s="71"/>
      <c r="U316" s="41" t="s">
        <v>127</v>
      </c>
      <c r="V316" s="63"/>
    </row>
    <row r="317" spans="1:22">
      <c r="A317" s="61" t="b">
        <v>1</v>
      </c>
      <c r="B317" s="62" t="s">
        <v>35</v>
      </c>
      <c r="C317" s="62"/>
      <c r="D317" s="62" t="b">
        <v>0</v>
      </c>
      <c r="E317" s="62" t="b">
        <v>1</v>
      </c>
      <c r="F317" s="71" t="s">
        <v>34</v>
      </c>
      <c r="G317" s="350" t="s">
        <v>561</v>
      </c>
      <c r="H317" s="351"/>
      <c r="I317" s="351"/>
      <c r="J317" s="351"/>
      <c r="K317" s="351"/>
      <c r="L317" s="351"/>
      <c r="M317" s="351"/>
      <c r="N317" s="351"/>
      <c r="O317" s="351"/>
      <c r="P317" s="351"/>
      <c r="Q317" s="351"/>
      <c r="R317" s="352"/>
      <c r="S317" s="70"/>
      <c r="T317" s="71"/>
      <c r="U317" s="41" t="s">
        <v>127</v>
      </c>
      <c r="V317" s="63"/>
    </row>
    <row r="318" spans="1:22">
      <c r="A318" s="61" t="b">
        <v>1</v>
      </c>
      <c r="B318" s="62" t="s">
        <v>562</v>
      </c>
      <c r="C318" s="62"/>
      <c r="D318" s="62" t="b">
        <v>1</v>
      </c>
      <c r="E318" s="62" t="b">
        <v>1</v>
      </c>
      <c r="F318" s="71" t="s">
        <v>563</v>
      </c>
      <c r="G318" s="375" t="s">
        <v>564</v>
      </c>
      <c r="H318" s="376"/>
      <c r="I318" s="376"/>
      <c r="J318" s="376"/>
      <c r="K318" s="376"/>
      <c r="L318" s="376"/>
      <c r="M318" s="376"/>
      <c r="N318" s="376"/>
      <c r="O318" s="376"/>
      <c r="P318" s="376"/>
      <c r="Q318" s="376"/>
      <c r="R318" s="377"/>
      <c r="S318" s="70" t="s">
        <v>565</v>
      </c>
      <c r="T318" s="71" t="s">
        <v>153</v>
      </c>
      <c r="U318" s="41" t="s">
        <v>127</v>
      </c>
      <c r="V318" s="63"/>
    </row>
    <row r="319" spans="1:22">
      <c r="A319" s="61" t="b">
        <v>1</v>
      </c>
      <c r="B319" s="62" t="s">
        <v>562</v>
      </c>
      <c r="C319" s="62"/>
      <c r="D319" s="62" t="b">
        <v>1</v>
      </c>
      <c r="E319" s="62" t="b">
        <v>1</v>
      </c>
      <c r="F319" s="71" t="s">
        <v>566</v>
      </c>
      <c r="G319" s="375" t="s">
        <v>567</v>
      </c>
      <c r="H319" s="376"/>
      <c r="I319" s="376"/>
      <c r="J319" s="376"/>
      <c r="K319" s="376"/>
      <c r="L319" s="376"/>
      <c r="M319" s="376"/>
      <c r="N319" s="376"/>
      <c r="O319" s="376"/>
      <c r="P319" s="376"/>
      <c r="Q319" s="376"/>
      <c r="R319" s="377"/>
      <c r="S319" s="70" t="s">
        <v>568</v>
      </c>
      <c r="T319" s="71" t="s">
        <v>153</v>
      </c>
      <c r="U319" s="41" t="s">
        <v>127</v>
      </c>
      <c r="V319" s="63"/>
    </row>
    <row r="320" spans="1:22" ht="19.5" customHeight="1">
      <c r="A320" s="61" t="b">
        <v>1</v>
      </c>
      <c r="B320" s="62" t="s">
        <v>35</v>
      </c>
      <c r="C320" s="62"/>
      <c r="D320" s="62" t="b">
        <v>0</v>
      </c>
      <c r="E320" s="62" t="b">
        <v>1</v>
      </c>
      <c r="F320" s="71" t="s">
        <v>34</v>
      </c>
      <c r="G320" s="350" t="s">
        <v>569</v>
      </c>
      <c r="H320" s="351"/>
      <c r="I320" s="351"/>
      <c r="J320" s="351"/>
      <c r="K320" s="351"/>
      <c r="L320" s="351"/>
      <c r="M320" s="351"/>
      <c r="N320" s="351"/>
      <c r="O320" s="351"/>
      <c r="P320" s="351"/>
      <c r="Q320" s="351"/>
      <c r="R320" s="352"/>
      <c r="S320" s="70"/>
      <c r="T320" s="71"/>
      <c r="U320" s="41" t="s">
        <v>20</v>
      </c>
      <c r="V320" s="63"/>
    </row>
    <row r="321" spans="1:22">
      <c r="A321" s="61" t="b">
        <v>1</v>
      </c>
      <c r="B321" s="62" t="s">
        <v>562</v>
      </c>
      <c r="C321" s="62"/>
      <c r="D321" s="62" t="b">
        <v>1</v>
      </c>
      <c r="E321" s="62" t="b">
        <v>1</v>
      </c>
      <c r="F321" s="71" t="s">
        <v>570</v>
      </c>
      <c r="G321" s="375"/>
      <c r="H321" s="376"/>
      <c r="I321" s="376"/>
      <c r="J321" s="376"/>
      <c r="K321" s="376"/>
      <c r="L321" s="376"/>
      <c r="M321" s="376"/>
      <c r="N321" s="376"/>
      <c r="O321" s="376"/>
      <c r="P321" s="376"/>
      <c r="Q321" s="376"/>
      <c r="R321" s="377"/>
      <c r="S321" s="70" t="s">
        <v>571</v>
      </c>
      <c r="T321" s="71" t="s">
        <v>153</v>
      </c>
      <c r="U321" s="41" t="s">
        <v>20</v>
      </c>
      <c r="V321" s="63"/>
    </row>
    <row r="322" spans="1:22" ht="19.5" customHeight="1">
      <c r="A322" s="61" t="b">
        <v>1</v>
      </c>
      <c r="B322" s="62" t="s">
        <v>562</v>
      </c>
      <c r="C322" s="62"/>
      <c r="D322" s="62" t="b">
        <v>1</v>
      </c>
      <c r="E322" s="62" t="b">
        <v>1</v>
      </c>
      <c r="F322" s="71" t="s">
        <v>572</v>
      </c>
      <c r="G322" s="375"/>
      <c r="H322" s="376"/>
      <c r="I322" s="376"/>
      <c r="J322" s="376"/>
      <c r="K322" s="376"/>
      <c r="L322" s="376"/>
      <c r="M322" s="376"/>
      <c r="N322" s="376"/>
      <c r="O322" s="376"/>
      <c r="P322" s="376"/>
      <c r="Q322" s="376"/>
      <c r="R322" s="377"/>
      <c r="S322" s="70" t="s">
        <v>573</v>
      </c>
      <c r="T322" s="71" t="s">
        <v>153</v>
      </c>
      <c r="U322" s="41" t="s">
        <v>20</v>
      </c>
      <c r="V322" s="63"/>
    </row>
    <row r="323" spans="1:22" ht="19.5" customHeight="1">
      <c r="A323" s="61" t="b">
        <v>1</v>
      </c>
      <c r="B323" s="62" t="s">
        <v>35</v>
      </c>
      <c r="C323" s="62"/>
      <c r="D323" s="62" t="b">
        <v>0</v>
      </c>
      <c r="E323" s="62" t="b">
        <v>1</v>
      </c>
      <c r="F323" s="71" t="s">
        <v>34</v>
      </c>
      <c r="G323" s="350" t="s">
        <v>574</v>
      </c>
      <c r="H323" s="351"/>
      <c r="I323" s="351"/>
      <c r="J323" s="351"/>
      <c r="K323" s="351"/>
      <c r="L323" s="351"/>
      <c r="M323" s="351"/>
      <c r="N323" s="351"/>
      <c r="O323" s="351"/>
      <c r="P323" s="351"/>
      <c r="Q323" s="351"/>
      <c r="R323" s="352"/>
      <c r="S323" s="70"/>
      <c r="T323" s="71"/>
      <c r="U323" s="41" t="s">
        <v>20</v>
      </c>
      <c r="V323" s="63"/>
    </row>
    <row r="324" spans="1:22" ht="33" customHeight="1">
      <c r="A324" s="61" t="b">
        <v>1</v>
      </c>
      <c r="B324" s="62" t="s">
        <v>575</v>
      </c>
      <c r="C324" s="62"/>
      <c r="D324" s="62" t="b">
        <v>1</v>
      </c>
      <c r="E324" s="62" t="b">
        <v>1</v>
      </c>
      <c r="F324" s="71" t="s">
        <v>576</v>
      </c>
      <c r="G324" s="375"/>
      <c r="H324" s="376"/>
      <c r="I324" s="376"/>
      <c r="J324" s="376"/>
      <c r="K324" s="376"/>
      <c r="L324" s="376"/>
      <c r="M324" s="376"/>
      <c r="N324" s="376"/>
      <c r="O324" s="376"/>
      <c r="P324" s="376"/>
      <c r="Q324" s="376"/>
      <c r="R324" s="377"/>
      <c r="S324" s="70" t="s">
        <v>577</v>
      </c>
      <c r="T324" s="71" t="s">
        <v>153</v>
      </c>
      <c r="U324" s="41" t="s">
        <v>20</v>
      </c>
      <c r="V324" s="63"/>
    </row>
    <row r="325" spans="1:22" ht="32.25" customHeight="1">
      <c r="A325" s="61" t="b">
        <v>1</v>
      </c>
      <c r="B325" s="62" t="s">
        <v>575</v>
      </c>
      <c r="C325" s="62"/>
      <c r="D325" s="62" t="b">
        <v>1</v>
      </c>
      <c r="E325" s="62" t="b">
        <v>1</v>
      </c>
      <c r="F325" s="71" t="s">
        <v>578</v>
      </c>
      <c r="G325" s="375"/>
      <c r="H325" s="376"/>
      <c r="I325" s="376"/>
      <c r="J325" s="376"/>
      <c r="K325" s="376"/>
      <c r="L325" s="376"/>
      <c r="M325" s="376"/>
      <c r="N325" s="376"/>
      <c r="O325" s="376"/>
      <c r="P325" s="376"/>
      <c r="Q325" s="376"/>
      <c r="R325" s="377"/>
      <c r="S325" s="70" t="s">
        <v>579</v>
      </c>
      <c r="T325" s="71" t="s">
        <v>153</v>
      </c>
      <c r="U325" s="41" t="s">
        <v>20</v>
      </c>
      <c r="V325" s="63"/>
    </row>
    <row r="326" spans="1:22">
      <c r="A326" s="65"/>
      <c r="B326" s="65" t="s">
        <v>36</v>
      </c>
      <c r="C326" s="65"/>
      <c r="D326" s="65" t="b">
        <v>0</v>
      </c>
      <c r="E326" s="65" t="b">
        <v>1</v>
      </c>
      <c r="F326" s="65" t="s">
        <v>37</v>
      </c>
      <c r="G326" s="360"/>
      <c r="H326" s="361"/>
      <c r="I326" s="361"/>
      <c r="J326" s="361"/>
      <c r="K326" s="361"/>
      <c r="L326" s="361"/>
      <c r="M326" s="361"/>
      <c r="N326" s="361"/>
      <c r="O326" s="361"/>
      <c r="P326" s="361"/>
      <c r="Q326" s="361"/>
      <c r="R326" s="362"/>
      <c r="S326" s="152" t="s">
        <v>121</v>
      </c>
      <c r="T326" s="65"/>
      <c r="U326" s="66"/>
      <c r="V326" s="66"/>
    </row>
    <row r="327" spans="1:22" ht="29">
      <c r="A327" s="61" t="b">
        <v>0</v>
      </c>
      <c r="B327" s="62" t="s">
        <v>38</v>
      </c>
      <c r="C327" s="62"/>
      <c r="D327" s="62" t="b">
        <v>1</v>
      </c>
      <c r="E327" s="62" t="b">
        <v>1</v>
      </c>
      <c r="F327" s="71"/>
      <c r="G327" s="284"/>
      <c r="H327" s="285"/>
      <c r="I327" s="285"/>
      <c r="J327" s="285"/>
      <c r="K327" s="285"/>
      <c r="L327" s="285"/>
      <c r="M327" s="285"/>
      <c r="N327" s="285"/>
      <c r="O327" s="285"/>
      <c r="P327" s="285"/>
      <c r="Q327" s="285"/>
      <c r="R327" s="286"/>
      <c r="S327" s="70" t="s">
        <v>287</v>
      </c>
      <c r="T327" s="71" t="s">
        <v>160</v>
      </c>
      <c r="U327" s="41" t="s">
        <v>20</v>
      </c>
      <c r="V327" s="99" t="s">
        <v>161</v>
      </c>
    </row>
    <row r="328" spans="1:22" ht="29">
      <c r="A328" s="61" t="b">
        <v>0</v>
      </c>
      <c r="B328" s="62" t="s">
        <v>38</v>
      </c>
      <c r="C328" s="62"/>
      <c r="D328" s="62" t="b">
        <v>1</v>
      </c>
      <c r="E328" s="62" t="b">
        <v>1</v>
      </c>
      <c r="F328" s="71"/>
      <c r="G328" s="284"/>
      <c r="H328" s="285"/>
      <c r="I328" s="285"/>
      <c r="J328" s="285"/>
      <c r="K328" s="285"/>
      <c r="L328" s="285"/>
      <c r="M328" s="285"/>
      <c r="N328" s="285"/>
      <c r="O328" s="285"/>
      <c r="P328" s="285"/>
      <c r="Q328" s="285"/>
      <c r="R328" s="286"/>
      <c r="S328" s="70" t="s">
        <v>384</v>
      </c>
      <c r="T328" s="71" t="s">
        <v>160</v>
      </c>
      <c r="U328" s="41" t="s">
        <v>20</v>
      </c>
      <c r="V328" s="99" t="s">
        <v>161</v>
      </c>
    </row>
    <row r="329" spans="1:22" ht="29">
      <c r="A329" s="61" t="b">
        <v>0</v>
      </c>
      <c r="B329" s="62" t="s">
        <v>38</v>
      </c>
      <c r="C329" s="62"/>
      <c r="D329" s="62" t="b">
        <v>1</v>
      </c>
      <c r="E329" s="62" t="b">
        <v>1</v>
      </c>
      <c r="F329" s="71"/>
      <c r="G329" s="284"/>
      <c r="H329" s="285"/>
      <c r="I329" s="285"/>
      <c r="J329" s="285"/>
      <c r="K329" s="285"/>
      <c r="L329" s="285"/>
      <c r="M329" s="285"/>
      <c r="N329" s="285"/>
      <c r="O329" s="285"/>
      <c r="P329" s="285"/>
      <c r="Q329" s="285"/>
      <c r="R329" s="286"/>
      <c r="S329" s="70" t="s">
        <v>580</v>
      </c>
      <c r="T329" s="71" t="s">
        <v>160</v>
      </c>
      <c r="U329" s="41" t="s">
        <v>20</v>
      </c>
      <c r="V329" s="99" t="s">
        <v>161</v>
      </c>
    </row>
    <row r="330" spans="1:22" ht="29">
      <c r="A330" s="61" t="b">
        <v>0</v>
      </c>
      <c r="B330" s="62" t="s">
        <v>38</v>
      </c>
      <c r="C330" s="62"/>
      <c r="D330" s="62" t="b">
        <v>1</v>
      </c>
      <c r="E330" s="62" t="b">
        <v>1</v>
      </c>
      <c r="F330" s="71"/>
      <c r="G330" s="284"/>
      <c r="H330" s="285"/>
      <c r="I330" s="285"/>
      <c r="J330" s="285"/>
      <c r="K330" s="285"/>
      <c r="L330" s="285"/>
      <c r="M330" s="285"/>
      <c r="N330" s="285"/>
      <c r="O330" s="285"/>
      <c r="P330" s="285"/>
      <c r="Q330" s="285"/>
      <c r="R330" s="286"/>
      <c r="S330" s="70" t="s">
        <v>581</v>
      </c>
      <c r="T330" s="71" t="s">
        <v>160</v>
      </c>
      <c r="U330" s="41" t="s">
        <v>20</v>
      </c>
      <c r="V330" s="99" t="s">
        <v>161</v>
      </c>
    </row>
    <row r="331" spans="1:22" ht="58">
      <c r="A331" s="61" t="b">
        <v>0</v>
      </c>
      <c r="B331" s="62" t="s">
        <v>38</v>
      </c>
      <c r="C331" s="62"/>
      <c r="D331" s="62" t="b">
        <v>1</v>
      </c>
      <c r="E331" s="62" t="b">
        <v>1</v>
      </c>
      <c r="F331" s="71"/>
      <c r="G331" s="284"/>
      <c r="H331" s="285"/>
      <c r="I331" s="285"/>
      <c r="J331" s="285"/>
      <c r="K331" s="285"/>
      <c r="L331" s="285"/>
      <c r="M331" s="285"/>
      <c r="N331" s="285"/>
      <c r="O331" s="285"/>
      <c r="P331" s="285"/>
      <c r="Q331" s="285"/>
      <c r="R331" s="286"/>
      <c r="S331" s="70" t="s">
        <v>582</v>
      </c>
      <c r="T331" s="71" t="s">
        <v>160</v>
      </c>
      <c r="U331" s="41" t="s">
        <v>20</v>
      </c>
      <c r="V331" s="99" t="s">
        <v>161</v>
      </c>
    </row>
    <row r="332" spans="1:22" ht="29">
      <c r="A332" s="52" t="s">
        <v>4</v>
      </c>
      <c r="B332" s="52" t="s">
        <v>5</v>
      </c>
      <c r="C332" s="52" t="s">
        <v>6</v>
      </c>
      <c r="D332" s="52" t="s">
        <v>113</v>
      </c>
      <c r="E332" s="52" t="s">
        <v>114</v>
      </c>
      <c r="F332" s="52" t="s">
        <v>9</v>
      </c>
      <c r="G332" s="344" t="s">
        <v>10</v>
      </c>
      <c r="H332" s="345"/>
      <c r="I332" s="345"/>
      <c r="J332" s="345"/>
      <c r="K332" s="345"/>
      <c r="L332" s="345"/>
      <c r="M332" s="345"/>
      <c r="N332" s="345"/>
      <c r="O332" s="345"/>
      <c r="P332" s="345"/>
      <c r="Q332" s="345"/>
      <c r="R332" s="346"/>
      <c r="S332" s="151"/>
      <c r="T332" s="52" t="s">
        <v>12</v>
      </c>
      <c r="U332" s="16" t="s">
        <v>13</v>
      </c>
      <c r="V332" s="16" t="s">
        <v>14</v>
      </c>
    </row>
    <row r="333" spans="1:22">
      <c r="A333" s="55"/>
      <c r="B333" s="56" t="s">
        <v>15</v>
      </c>
      <c r="C333" s="56"/>
      <c r="D333" s="56" t="b">
        <v>0</v>
      </c>
      <c r="E333" s="56" t="b">
        <v>1</v>
      </c>
      <c r="F333" s="56"/>
      <c r="G333" s="290" t="s">
        <v>583</v>
      </c>
      <c r="H333" s="291"/>
      <c r="I333" s="291"/>
      <c r="J333" s="291"/>
      <c r="K333" s="291"/>
      <c r="L333" s="291"/>
      <c r="M333" s="291"/>
      <c r="N333" s="291"/>
      <c r="O333" s="291"/>
      <c r="P333" s="291"/>
      <c r="Q333" s="291"/>
      <c r="R333" s="292"/>
      <c r="S333" s="72"/>
      <c r="T333" s="56"/>
      <c r="U333" s="57"/>
      <c r="V333" s="57"/>
    </row>
    <row r="334" spans="1:22">
      <c r="A334" s="58"/>
      <c r="B334" s="59" t="s">
        <v>17</v>
      </c>
      <c r="C334" s="59"/>
      <c r="D334" s="59" t="b">
        <v>0</v>
      </c>
      <c r="E334" s="59" t="b">
        <v>1</v>
      </c>
      <c r="F334" s="59" t="s">
        <v>18</v>
      </c>
      <c r="G334" s="293" t="s">
        <v>584</v>
      </c>
      <c r="H334" s="294"/>
      <c r="I334" s="294"/>
      <c r="J334" s="294"/>
      <c r="K334" s="294"/>
      <c r="L334" s="294"/>
      <c r="M334" s="294"/>
      <c r="N334" s="294"/>
      <c r="O334" s="294"/>
      <c r="P334" s="294"/>
      <c r="Q334" s="294"/>
      <c r="R334" s="295"/>
      <c r="S334" s="73"/>
      <c r="T334" s="59"/>
      <c r="U334" s="59"/>
      <c r="V334" s="60"/>
    </row>
    <row r="335" spans="1:22" hidden="1">
      <c r="A335" s="61" t="b">
        <v>1</v>
      </c>
      <c r="B335" s="62" t="s">
        <v>21</v>
      </c>
      <c r="C335" s="62"/>
      <c r="D335" s="62" t="b">
        <v>0</v>
      </c>
      <c r="E335" s="62" t="b">
        <v>1</v>
      </c>
      <c r="F335" s="71" t="s">
        <v>22</v>
      </c>
      <c r="G335" s="54" t="s">
        <v>57</v>
      </c>
      <c r="H335" s="54"/>
      <c r="I335" s="54"/>
      <c r="J335" s="54"/>
      <c r="K335" s="54"/>
      <c r="L335" s="54"/>
      <c r="M335" s="54"/>
      <c r="N335" s="54"/>
      <c r="O335" s="54"/>
      <c r="P335" s="54"/>
      <c r="Q335" s="54"/>
      <c r="R335" s="54"/>
      <c r="S335" s="70"/>
      <c r="T335" s="71"/>
      <c r="U335" s="54"/>
      <c r="V335" s="63"/>
    </row>
    <row r="336" spans="1:22" hidden="1">
      <c r="A336" s="61" t="b">
        <v>0</v>
      </c>
      <c r="B336" s="62" t="s">
        <v>24</v>
      </c>
      <c r="C336" s="62"/>
      <c r="D336" s="62" t="b">
        <v>0</v>
      </c>
      <c r="E336" s="62" t="b">
        <v>1</v>
      </c>
      <c r="F336" s="71" t="s">
        <v>25</v>
      </c>
      <c r="G336" s="54">
        <v>1</v>
      </c>
      <c r="H336" s="54"/>
      <c r="I336" s="54"/>
      <c r="J336" s="54"/>
      <c r="K336" s="54"/>
      <c r="L336" s="54"/>
      <c r="M336" s="54"/>
      <c r="N336" s="54"/>
      <c r="O336" s="54"/>
      <c r="P336" s="54"/>
      <c r="Q336" s="54"/>
      <c r="R336" s="54"/>
      <c r="S336" s="70"/>
      <c r="T336" s="71"/>
      <c r="U336" s="54"/>
      <c r="V336" s="63"/>
    </row>
    <row r="337" spans="1:22" hidden="1">
      <c r="A337" s="61" t="b">
        <v>0</v>
      </c>
      <c r="B337" s="62" t="s">
        <v>26</v>
      </c>
      <c r="C337" s="62"/>
      <c r="D337" s="62" t="b">
        <v>0</v>
      </c>
      <c r="E337" s="62" t="b">
        <v>1</v>
      </c>
      <c r="F337" s="71" t="s">
        <v>27</v>
      </c>
      <c r="G337" s="54"/>
      <c r="H337" s="54"/>
      <c r="I337" s="54"/>
      <c r="J337" s="54"/>
      <c r="K337" s="54"/>
      <c r="L337" s="54"/>
      <c r="M337" s="54"/>
      <c r="N337" s="54"/>
      <c r="O337" s="54"/>
      <c r="P337" s="54"/>
      <c r="Q337" s="54"/>
      <c r="R337" s="54"/>
      <c r="S337" s="70"/>
      <c r="T337" s="71"/>
      <c r="U337" s="54"/>
      <c r="V337" s="63"/>
    </row>
    <row r="338" spans="1:22" hidden="1">
      <c r="A338" s="57" t="b">
        <v>1</v>
      </c>
      <c r="B338" s="57" t="s">
        <v>28</v>
      </c>
      <c r="C338" s="57"/>
      <c r="D338" s="57" t="b">
        <v>0</v>
      </c>
      <c r="E338" s="57" t="b">
        <v>1</v>
      </c>
      <c r="F338" s="56"/>
      <c r="G338" s="57" t="s">
        <v>583</v>
      </c>
      <c r="H338" s="57"/>
      <c r="I338" s="57"/>
      <c r="J338" s="57"/>
      <c r="K338" s="57"/>
      <c r="L338" s="57"/>
      <c r="M338" s="57"/>
      <c r="N338" s="57"/>
      <c r="O338" s="57"/>
      <c r="P338" s="57"/>
      <c r="Q338" s="57"/>
      <c r="R338" s="57"/>
      <c r="S338" s="72"/>
      <c r="T338" s="56"/>
      <c r="U338" s="57"/>
      <c r="V338" s="57"/>
    </row>
    <row r="339" spans="1:22" hidden="1">
      <c r="A339" s="65"/>
      <c r="B339" s="65" t="s">
        <v>31</v>
      </c>
      <c r="C339" s="65"/>
      <c r="D339" s="65" t="b">
        <v>0</v>
      </c>
      <c r="E339" s="65" t="b">
        <v>1</v>
      </c>
      <c r="F339" s="65" t="s">
        <v>32</v>
      </c>
      <c r="G339" s="65"/>
      <c r="H339" s="65"/>
      <c r="I339" s="65"/>
      <c r="J339" s="65"/>
      <c r="K339" s="65"/>
      <c r="L339" s="65"/>
      <c r="M339" s="65"/>
      <c r="N339" s="65"/>
      <c r="O339" s="65"/>
      <c r="P339" s="65"/>
      <c r="Q339" s="65"/>
      <c r="R339" s="65"/>
      <c r="S339" s="152" t="s">
        <v>121</v>
      </c>
      <c r="T339" s="65"/>
      <c r="U339" s="65"/>
      <c r="V339" s="65"/>
    </row>
    <row r="340" spans="1:22" ht="29">
      <c r="A340" s="61" t="b">
        <v>1</v>
      </c>
      <c r="B340" s="62" t="s">
        <v>35</v>
      </c>
      <c r="C340" s="62"/>
      <c r="D340" s="62" t="b">
        <v>0</v>
      </c>
      <c r="E340" s="62" t="b">
        <v>1</v>
      </c>
      <c r="F340" s="71" t="s">
        <v>34</v>
      </c>
      <c r="G340" s="350" t="s">
        <v>584</v>
      </c>
      <c r="H340" s="351"/>
      <c r="I340" s="351"/>
      <c r="J340" s="351"/>
      <c r="K340" s="351"/>
      <c r="L340" s="351"/>
      <c r="M340" s="351"/>
      <c r="N340" s="351"/>
      <c r="O340" s="351"/>
      <c r="P340" s="351"/>
      <c r="Q340" s="351"/>
      <c r="R340" s="352"/>
      <c r="S340" s="70"/>
      <c r="T340" s="71" t="s">
        <v>120</v>
      </c>
      <c r="U340" s="41" t="s">
        <v>127</v>
      </c>
      <c r="V340" s="63"/>
    </row>
    <row r="341" spans="1:22">
      <c r="A341" s="61" t="b">
        <v>1</v>
      </c>
      <c r="B341" s="62" t="s">
        <v>585</v>
      </c>
      <c r="C341" s="62"/>
      <c r="D341" s="62" t="b">
        <v>1</v>
      </c>
      <c r="E341" s="62" t="b">
        <v>1</v>
      </c>
      <c r="F341" s="71" t="s">
        <v>586</v>
      </c>
      <c r="G341" s="329" t="s">
        <v>587</v>
      </c>
      <c r="H341" s="330"/>
      <c r="I341" s="330"/>
      <c r="J341" s="330"/>
      <c r="K341" s="330"/>
      <c r="L341" s="330"/>
      <c r="M341" s="330"/>
      <c r="N341" s="330"/>
      <c r="O341" s="330"/>
      <c r="P341" s="330"/>
      <c r="Q341" s="330"/>
      <c r="R341" s="331"/>
      <c r="S341" s="70" t="s">
        <v>588</v>
      </c>
      <c r="T341" s="71" t="s">
        <v>153</v>
      </c>
      <c r="U341" s="41" t="s">
        <v>127</v>
      </c>
      <c r="V341" s="63"/>
    </row>
    <row r="342" spans="1:22">
      <c r="A342" s="61" t="b">
        <v>1</v>
      </c>
      <c r="B342" s="62" t="s">
        <v>585</v>
      </c>
      <c r="C342" s="62"/>
      <c r="D342" s="62" t="b">
        <v>1</v>
      </c>
      <c r="E342" s="62" t="b">
        <v>1</v>
      </c>
      <c r="F342" s="71" t="s">
        <v>589</v>
      </c>
      <c r="G342" s="329"/>
      <c r="H342" s="330"/>
      <c r="I342" s="330"/>
      <c r="J342" s="330"/>
      <c r="K342" s="330"/>
      <c r="L342" s="330"/>
      <c r="M342" s="330"/>
      <c r="N342" s="330"/>
      <c r="O342" s="330"/>
      <c r="P342" s="330"/>
      <c r="Q342" s="330"/>
      <c r="R342" s="331"/>
      <c r="S342" s="70" t="s">
        <v>590</v>
      </c>
      <c r="T342" s="71" t="s">
        <v>153</v>
      </c>
      <c r="U342" s="41" t="s">
        <v>20</v>
      </c>
      <c r="V342" s="63"/>
    </row>
    <row r="343" spans="1:22">
      <c r="A343" s="61" t="b">
        <v>1</v>
      </c>
      <c r="B343" s="62" t="s">
        <v>585</v>
      </c>
      <c r="C343" s="62"/>
      <c r="D343" s="62" t="b">
        <v>1</v>
      </c>
      <c r="E343" s="62" t="b">
        <v>1</v>
      </c>
      <c r="F343" s="71" t="s">
        <v>591</v>
      </c>
      <c r="G343" s="329"/>
      <c r="H343" s="330"/>
      <c r="I343" s="330"/>
      <c r="J343" s="330"/>
      <c r="K343" s="330"/>
      <c r="L343" s="330"/>
      <c r="M343" s="330"/>
      <c r="N343" s="330"/>
      <c r="O343" s="330"/>
      <c r="P343" s="330"/>
      <c r="Q343" s="330"/>
      <c r="R343" s="331"/>
      <c r="S343" s="70" t="s">
        <v>592</v>
      </c>
      <c r="T343" s="71" t="s">
        <v>153</v>
      </c>
      <c r="U343" s="41" t="s">
        <v>20</v>
      </c>
      <c r="V343" s="63"/>
    </row>
    <row r="344" spans="1:22">
      <c r="A344" s="61" t="b">
        <v>1</v>
      </c>
      <c r="B344" s="62" t="s">
        <v>35</v>
      </c>
      <c r="C344" s="62"/>
      <c r="D344" s="62" t="b">
        <v>0</v>
      </c>
      <c r="E344" s="62" t="b">
        <v>1</v>
      </c>
      <c r="F344" s="71" t="s">
        <v>34</v>
      </c>
      <c r="G344" s="350" t="s">
        <v>593</v>
      </c>
      <c r="H344" s="351"/>
      <c r="I344" s="351"/>
      <c r="J344" s="351"/>
      <c r="K344" s="351"/>
      <c r="L344" s="351"/>
      <c r="M344" s="351"/>
      <c r="N344" s="351"/>
      <c r="O344" s="351"/>
      <c r="P344" s="351"/>
      <c r="Q344" s="351"/>
      <c r="R344" s="352"/>
      <c r="S344" s="70"/>
      <c r="T344" s="71"/>
      <c r="U344" s="41"/>
      <c r="V344" s="63"/>
    </row>
    <row r="345" spans="1:22" ht="15" customHeight="1">
      <c r="A345" s="61" t="b">
        <v>1</v>
      </c>
      <c r="B345" s="62" t="s">
        <v>594</v>
      </c>
      <c r="C345" s="62"/>
      <c r="D345" s="62" t="b">
        <v>1</v>
      </c>
      <c r="E345" s="62" t="b">
        <v>1</v>
      </c>
      <c r="F345" s="71" t="s">
        <v>595</v>
      </c>
      <c r="G345" s="314" t="s">
        <v>596</v>
      </c>
      <c r="H345" s="315"/>
      <c r="I345" s="315"/>
      <c r="J345" s="315"/>
      <c r="K345" s="315"/>
      <c r="L345" s="315"/>
      <c r="M345" s="315"/>
      <c r="N345" s="315"/>
      <c r="O345" s="315"/>
      <c r="P345" s="315"/>
      <c r="Q345" s="315"/>
      <c r="R345" s="316"/>
      <c r="S345" s="70" t="s">
        <v>597</v>
      </c>
      <c r="T345" s="71" t="s">
        <v>153</v>
      </c>
      <c r="U345" s="41" t="s">
        <v>127</v>
      </c>
      <c r="V345" s="63"/>
    </row>
    <row r="346" spans="1:22" ht="29">
      <c r="A346" s="61" t="b">
        <v>1</v>
      </c>
      <c r="B346" s="62" t="s">
        <v>594</v>
      </c>
      <c r="C346" s="62"/>
      <c r="D346" s="62" t="b">
        <v>1</v>
      </c>
      <c r="E346" s="62" t="b">
        <v>1</v>
      </c>
      <c r="F346" s="71" t="s">
        <v>598</v>
      </c>
      <c r="G346" s="314" t="s">
        <v>599</v>
      </c>
      <c r="H346" s="315"/>
      <c r="I346" s="315"/>
      <c r="J346" s="315"/>
      <c r="K346" s="315"/>
      <c r="L346" s="315"/>
      <c r="M346" s="315"/>
      <c r="N346" s="315"/>
      <c r="O346" s="315"/>
      <c r="P346" s="315"/>
      <c r="Q346" s="315"/>
      <c r="R346" s="316"/>
      <c r="S346" s="70" t="s">
        <v>600</v>
      </c>
      <c r="T346" s="71" t="s">
        <v>153</v>
      </c>
      <c r="U346" s="41" t="s">
        <v>127</v>
      </c>
      <c r="V346" s="63"/>
    </row>
    <row r="347" spans="1:22" ht="29">
      <c r="A347" s="61"/>
      <c r="B347" s="62"/>
      <c r="C347" s="62"/>
      <c r="D347" s="62" t="b">
        <v>1</v>
      </c>
      <c r="E347" s="62" t="b">
        <v>1</v>
      </c>
      <c r="F347" s="71" t="s">
        <v>601</v>
      </c>
      <c r="G347" s="314"/>
      <c r="H347" s="315"/>
      <c r="I347" s="315"/>
      <c r="J347" s="315"/>
      <c r="K347" s="315"/>
      <c r="L347" s="315"/>
      <c r="M347" s="315"/>
      <c r="N347" s="315"/>
      <c r="O347" s="315"/>
      <c r="P347" s="315"/>
      <c r="Q347" s="315"/>
      <c r="R347" s="316"/>
      <c r="S347" s="70" t="s">
        <v>602</v>
      </c>
      <c r="T347" s="71" t="s">
        <v>153</v>
      </c>
      <c r="U347" s="41" t="s">
        <v>20</v>
      </c>
      <c r="V347" s="63"/>
    </row>
    <row r="348" spans="1:22">
      <c r="A348" s="61" t="b">
        <v>1</v>
      </c>
      <c r="B348" s="62" t="s">
        <v>35</v>
      </c>
      <c r="C348" s="62"/>
      <c r="D348" s="62" t="b">
        <v>0</v>
      </c>
      <c r="E348" s="62" t="b">
        <v>1</v>
      </c>
      <c r="F348" s="71" t="s">
        <v>34</v>
      </c>
      <c r="G348" s="350" t="s">
        <v>603</v>
      </c>
      <c r="H348" s="351"/>
      <c r="I348" s="351"/>
      <c r="J348" s="351"/>
      <c r="K348" s="351"/>
      <c r="L348" s="351"/>
      <c r="M348" s="351"/>
      <c r="N348" s="351"/>
      <c r="O348" s="351"/>
      <c r="P348" s="351"/>
      <c r="Q348" s="351"/>
      <c r="R348" s="352"/>
      <c r="S348" s="70"/>
      <c r="T348" s="71"/>
      <c r="U348" s="41" t="s">
        <v>127</v>
      </c>
      <c r="V348" s="63"/>
    </row>
    <row r="349" spans="1:22">
      <c r="A349" s="61" t="b">
        <v>1</v>
      </c>
      <c r="B349" s="62" t="s">
        <v>35</v>
      </c>
      <c r="C349" s="62"/>
      <c r="D349" s="62" t="b">
        <v>0</v>
      </c>
      <c r="E349" s="62" t="b">
        <v>1</v>
      </c>
      <c r="F349" s="71" t="s">
        <v>604</v>
      </c>
      <c r="G349" s="314" t="s">
        <v>605</v>
      </c>
      <c r="H349" s="315"/>
      <c r="I349" s="315"/>
      <c r="J349" s="315"/>
      <c r="K349" s="315"/>
      <c r="L349" s="315"/>
      <c r="M349" s="315"/>
      <c r="N349" s="315"/>
      <c r="O349" s="315"/>
      <c r="P349" s="315"/>
      <c r="Q349" s="315"/>
      <c r="R349" s="316"/>
      <c r="S349" s="70" t="s">
        <v>606</v>
      </c>
      <c r="T349" s="71" t="s">
        <v>153</v>
      </c>
      <c r="U349" s="41" t="s">
        <v>127</v>
      </c>
      <c r="V349" s="63"/>
    </row>
    <row r="350" spans="1:22">
      <c r="A350" s="61" t="b">
        <v>1</v>
      </c>
      <c r="B350" s="62" t="s">
        <v>35</v>
      </c>
      <c r="C350" s="62"/>
      <c r="D350" s="62" t="b">
        <v>0</v>
      </c>
      <c r="E350" s="62" t="b">
        <v>1</v>
      </c>
      <c r="F350" s="71" t="s">
        <v>607</v>
      </c>
      <c r="G350" s="314" t="s">
        <v>608</v>
      </c>
      <c r="H350" s="315"/>
      <c r="I350" s="315"/>
      <c r="J350" s="315"/>
      <c r="K350" s="315"/>
      <c r="L350" s="315"/>
      <c r="M350" s="315"/>
      <c r="N350" s="315"/>
      <c r="O350" s="315"/>
      <c r="P350" s="315"/>
      <c r="Q350" s="315"/>
      <c r="R350" s="316"/>
      <c r="S350" s="70" t="s">
        <v>609</v>
      </c>
      <c r="T350" s="71" t="s">
        <v>153</v>
      </c>
      <c r="U350" s="41" t="s">
        <v>127</v>
      </c>
      <c r="V350" s="63"/>
    </row>
    <row r="351" spans="1:22">
      <c r="A351" s="61" t="b">
        <v>1</v>
      </c>
      <c r="B351" s="62" t="s">
        <v>35</v>
      </c>
      <c r="C351" s="62"/>
      <c r="D351" s="62" t="b">
        <v>0</v>
      </c>
      <c r="E351" s="62" t="b">
        <v>1</v>
      </c>
      <c r="F351" s="71" t="s">
        <v>610</v>
      </c>
      <c r="G351" s="314" t="s">
        <v>611</v>
      </c>
      <c r="H351" s="315"/>
      <c r="I351" s="315"/>
      <c r="J351" s="315"/>
      <c r="K351" s="315"/>
      <c r="L351" s="315"/>
      <c r="M351" s="315"/>
      <c r="N351" s="315"/>
      <c r="O351" s="315"/>
      <c r="P351" s="315"/>
      <c r="Q351" s="315"/>
      <c r="R351" s="316"/>
      <c r="S351" s="70" t="s">
        <v>612</v>
      </c>
      <c r="T351" s="71" t="s">
        <v>153</v>
      </c>
      <c r="U351" s="41" t="s">
        <v>127</v>
      </c>
      <c r="V351" s="63"/>
    </row>
    <row r="352" spans="1:22">
      <c r="A352" s="61" t="b">
        <v>1</v>
      </c>
      <c r="B352" s="62" t="s">
        <v>35</v>
      </c>
      <c r="C352" s="62"/>
      <c r="D352" s="62" t="b">
        <v>0</v>
      </c>
      <c r="E352" s="62" t="b">
        <v>1</v>
      </c>
      <c r="F352" s="71" t="s">
        <v>613</v>
      </c>
      <c r="G352" s="314" t="s">
        <v>614</v>
      </c>
      <c r="H352" s="315"/>
      <c r="I352" s="315"/>
      <c r="J352" s="315"/>
      <c r="K352" s="315"/>
      <c r="L352" s="315"/>
      <c r="M352" s="315"/>
      <c r="N352" s="315"/>
      <c r="O352" s="315"/>
      <c r="P352" s="315"/>
      <c r="Q352" s="315"/>
      <c r="R352" s="316"/>
      <c r="S352" s="70" t="s">
        <v>611</v>
      </c>
      <c r="T352" s="71" t="s">
        <v>153</v>
      </c>
      <c r="U352" s="41" t="s">
        <v>127</v>
      </c>
      <c r="V352" s="63"/>
    </row>
    <row r="353" spans="1:22">
      <c r="A353" s="61" t="b">
        <v>1</v>
      </c>
      <c r="B353" s="62" t="s">
        <v>35</v>
      </c>
      <c r="C353" s="62"/>
      <c r="D353" s="62" t="b">
        <v>0</v>
      </c>
      <c r="E353" s="62" t="b">
        <v>1</v>
      </c>
      <c r="F353" s="71" t="s">
        <v>615</v>
      </c>
      <c r="G353" s="314" t="s">
        <v>616</v>
      </c>
      <c r="H353" s="315"/>
      <c r="I353" s="315"/>
      <c r="J353" s="315"/>
      <c r="K353" s="315"/>
      <c r="L353" s="315"/>
      <c r="M353" s="315"/>
      <c r="N353" s="315"/>
      <c r="O353" s="315"/>
      <c r="P353" s="315"/>
      <c r="Q353" s="315"/>
      <c r="R353" s="316"/>
      <c r="S353" s="70" t="s">
        <v>614</v>
      </c>
      <c r="T353" s="71" t="s">
        <v>153</v>
      </c>
      <c r="U353" s="41" t="s">
        <v>127</v>
      </c>
      <c r="V353" s="63"/>
    </row>
    <row r="354" spans="1:22">
      <c r="A354" s="61" t="b">
        <v>1</v>
      </c>
      <c r="B354" s="62" t="s">
        <v>35</v>
      </c>
      <c r="C354" s="62"/>
      <c r="D354" s="62" t="b">
        <v>0</v>
      </c>
      <c r="E354" s="62" t="b">
        <v>1</v>
      </c>
      <c r="F354" s="71" t="s">
        <v>617</v>
      </c>
      <c r="G354" s="314" t="s">
        <v>618</v>
      </c>
      <c r="H354" s="315"/>
      <c r="I354" s="315"/>
      <c r="J354" s="315"/>
      <c r="K354" s="315"/>
      <c r="L354" s="315"/>
      <c r="M354" s="315"/>
      <c r="N354" s="315"/>
      <c r="O354" s="315"/>
      <c r="P354" s="315"/>
      <c r="Q354" s="315"/>
      <c r="R354" s="316"/>
      <c r="S354" s="70" t="s">
        <v>619</v>
      </c>
      <c r="T354" s="71" t="s">
        <v>153</v>
      </c>
      <c r="U354" s="41" t="s">
        <v>127</v>
      </c>
      <c r="V354" s="63"/>
    </row>
    <row r="355" spans="1:22">
      <c r="A355" s="61" t="b">
        <v>1</v>
      </c>
      <c r="B355" s="62" t="s">
        <v>35</v>
      </c>
      <c r="C355" s="62"/>
      <c r="D355" s="62" t="b">
        <v>0</v>
      </c>
      <c r="E355" s="62" t="b">
        <v>1</v>
      </c>
      <c r="F355" s="71" t="s">
        <v>620</v>
      </c>
      <c r="G355" s="353" t="s">
        <v>621</v>
      </c>
      <c r="H355" s="315"/>
      <c r="I355" s="315"/>
      <c r="J355" s="315"/>
      <c r="K355" s="315"/>
      <c r="L355" s="315"/>
      <c r="M355" s="315"/>
      <c r="N355" s="315"/>
      <c r="O355" s="315"/>
      <c r="P355" s="315"/>
      <c r="Q355" s="315"/>
      <c r="R355" s="316"/>
      <c r="S355" s="70" t="s">
        <v>618</v>
      </c>
      <c r="T355" s="71" t="s">
        <v>153</v>
      </c>
      <c r="U355" s="41" t="s">
        <v>127</v>
      </c>
      <c r="V355" s="63"/>
    </row>
    <row r="356" spans="1:22">
      <c r="A356" s="61" t="b">
        <v>1</v>
      </c>
      <c r="B356" s="62" t="s">
        <v>35</v>
      </c>
      <c r="C356" s="62"/>
      <c r="D356" s="62" t="b">
        <v>0</v>
      </c>
      <c r="E356" s="62" t="b">
        <v>1</v>
      </c>
      <c r="F356" s="71" t="s">
        <v>622</v>
      </c>
      <c r="G356" s="314" t="s">
        <v>623</v>
      </c>
      <c r="H356" s="315"/>
      <c r="I356" s="315"/>
      <c r="J356" s="315"/>
      <c r="K356" s="315"/>
      <c r="L356" s="315"/>
      <c r="M356" s="315"/>
      <c r="N356" s="315"/>
      <c r="O356" s="315"/>
      <c r="P356" s="315"/>
      <c r="Q356" s="315"/>
      <c r="R356" s="316"/>
      <c r="S356" s="70" t="s">
        <v>624</v>
      </c>
      <c r="T356" s="71" t="s">
        <v>153</v>
      </c>
      <c r="U356" s="41" t="s">
        <v>127</v>
      </c>
      <c r="V356" s="63"/>
    </row>
    <row r="357" spans="1:22">
      <c r="A357" s="61" t="b">
        <v>1</v>
      </c>
      <c r="B357" s="62" t="s">
        <v>35</v>
      </c>
      <c r="C357" s="62"/>
      <c r="D357" s="62" t="b">
        <v>0</v>
      </c>
      <c r="E357" s="62" t="b">
        <v>1</v>
      </c>
      <c r="F357" s="71" t="s">
        <v>625</v>
      </c>
      <c r="G357" s="353" t="s">
        <v>626</v>
      </c>
      <c r="H357" s="315"/>
      <c r="I357" s="315"/>
      <c r="J357" s="315"/>
      <c r="K357" s="315"/>
      <c r="L357" s="315"/>
      <c r="M357" s="315"/>
      <c r="N357" s="315"/>
      <c r="O357" s="315"/>
      <c r="P357" s="315"/>
      <c r="Q357" s="315"/>
      <c r="R357" s="316"/>
      <c r="S357" s="70" t="s">
        <v>623</v>
      </c>
      <c r="T357" s="71" t="s">
        <v>153</v>
      </c>
      <c r="U357" s="41" t="s">
        <v>127</v>
      </c>
      <c r="V357" s="63"/>
    </row>
    <row r="358" spans="1:22">
      <c r="A358" s="61" t="b">
        <v>1</v>
      </c>
      <c r="B358" s="62" t="s">
        <v>35</v>
      </c>
      <c r="C358" s="62"/>
      <c r="D358" s="62" t="b">
        <v>0</v>
      </c>
      <c r="E358" s="62" t="b">
        <v>1</v>
      </c>
      <c r="F358" s="71" t="s">
        <v>627</v>
      </c>
      <c r="G358" s="314" t="s">
        <v>628</v>
      </c>
      <c r="H358" s="315"/>
      <c r="I358" s="315"/>
      <c r="J358" s="315"/>
      <c r="K358" s="315"/>
      <c r="L358" s="315"/>
      <c r="M358" s="315"/>
      <c r="N358" s="315"/>
      <c r="O358" s="315"/>
      <c r="P358" s="315"/>
      <c r="Q358" s="315"/>
      <c r="R358" s="316"/>
      <c r="S358" s="70" t="s">
        <v>629</v>
      </c>
      <c r="T358" s="71" t="s">
        <v>153</v>
      </c>
      <c r="U358" s="41" t="s">
        <v>127</v>
      </c>
      <c r="V358" s="63"/>
    </row>
    <row r="359" spans="1:22">
      <c r="A359" s="61" t="b">
        <v>1</v>
      </c>
      <c r="B359" s="62" t="s">
        <v>35</v>
      </c>
      <c r="C359" s="62"/>
      <c r="D359" s="62" t="b">
        <v>0</v>
      </c>
      <c r="E359" s="62" t="b">
        <v>1</v>
      </c>
      <c r="F359" s="71" t="s">
        <v>630</v>
      </c>
      <c r="G359" s="314" t="s">
        <v>631</v>
      </c>
      <c r="H359" s="315"/>
      <c r="I359" s="315"/>
      <c r="J359" s="315"/>
      <c r="K359" s="315"/>
      <c r="L359" s="315"/>
      <c r="M359" s="315"/>
      <c r="N359" s="315"/>
      <c r="O359" s="315"/>
      <c r="P359" s="315"/>
      <c r="Q359" s="315"/>
      <c r="R359" s="316"/>
      <c r="S359" s="70" t="s">
        <v>632</v>
      </c>
      <c r="T359" s="71" t="s">
        <v>153</v>
      </c>
      <c r="U359" s="41" t="s">
        <v>127</v>
      </c>
      <c r="V359" s="63"/>
    </row>
    <row r="360" spans="1:22">
      <c r="A360" s="61" t="b">
        <v>1</v>
      </c>
      <c r="B360" s="62" t="s">
        <v>35</v>
      </c>
      <c r="C360" s="62"/>
      <c r="D360" s="62" t="b">
        <v>0</v>
      </c>
      <c r="E360" s="62" t="b">
        <v>1</v>
      </c>
      <c r="F360" s="71" t="s">
        <v>633</v>
      </c>
      <c r="G360" s="314" t="s">
        <v>634</v>
      </c>
      <c r="H360" s="315"/>
      <c r="I360" s="315"/>
      <c r="J360" s="315"/>
      <c r="K360" s="315"/>
      <c r="L360" s="315"/>
      <c r="M360" s="315"/>
      <c r="N360" s="315"/>
      <c r="O360" s="315"/>
      <c r="P360" s="315"/>
      <c r="Q360" s="315"/>
      <c r="R360" s="316"/>
      <c r="S360" s="70" t="s">
        <v>635</v>
      </c>
      <c r="T360" s="71" t="s">
        <v>153</v>
      </c>
      <c r="U360" s="41" t="s">
        <v>127</v>
      </c>
      <c r="V360" s="63"/>
    </row>
    <row r="361" spans="1:22">
      <c r="A361" s="61" t="b">
        <v>1</v>
      </c>
      <c r="B361" s="62" t="s">
        <v>35</v>
      </c>
      <c r="C361" s="62"/>
      <c r="D361" s="62" t="b">
        <v>0</v>
      </c>
      <c r="E361" s="62" t="b">
        <v>1</v>
      </c>
      <c r="F361" s="71" t="s">
        <v>636</v>
      </c>
      <c r="G361" s="314" t="s">
        <v>637</v>
      </c>
      <c r="H361" s="315"/>
      <c r="I361" s="315"/>
      <c r="J361" s="315"/>
      <c r="K361" s="315"/>
      <c r="L361" s="315"/>
      <c r="M361" s="315"/>
      <c r="N361" s="315"/>
      <c r="O361" s="315"/>
      <c r="P361" s="315"/>
      <c r="Q361" s="315"/>
      <c r="R361" s="316"/>
      <c r="S361" s="70" t="s">
        <v>638</v>
      </c>
      <c r="T361" s="71" t="s">
        <v>153</v>
      </c>
      <c r="U361" s="41" t="s">
        <v>127</v>
      </c>
      <c r="V361" s="63"/>
    </row>
    <row r="362" spans="1:22">
      <c r="A362" s="61" t="b">
        <v>1</v>
      </c>
      <c r="B362" s="62" t="s">
        <v>35</v>
      </c>
      <c r="C362" s="62"/>
      <c r="D362" s="62" t="b">
        <v>0</v>
      </c>
      <c r="E362" s="62" t="b">
        <v>1</v>
      </c>
      <c r="F362" s="71" t="s">
        <v>639</v>
      </c>
      <c r="G362" s="314" t="s">
        <v>640</v>
      </c>
      <c r="H362" s="315"/>
      <c r="I362" s="315"/>
      <c r="J362" s="315"/>
      <c r="K362" s="315"/>
      <c r="L362" s="315"/>
      <c r="M362" s="315"/>
      <c r="N362" s="315"/>
      <c r="O362" s="315"/>
      <c r="P362" s="315"/>
      <c r="Q362" s="315"/>
      <c r="R362" s="316"/>
      <c r="S362" s="70"/>
      <c r="T362" s="71" t="s">
        <v>153</v>
      </c>
      <c r="U362" s="41" t="s">
        <v>127</v>
      </c>
      <c r="V362" s="63"/>
    </row>
    <row r="363" spans="1:22">
      <c r="A363" s="61" t="b">
        <v>1</v>
      </c>
      <c r="B363" s="62" t="s">
        <v>35</v>
      </c>
      <c r="C363" s="62"/>
      <c r="D363" s="62" t="b">
        <v>0</v>
      </c>
      <c r="E363" s="62" t="b">
        <v>1</v>
      </c>
      <c r="F363" s="71" t="s">
        <v>641</v>
      </c>
      <c r="G363" s="314"/>
      <c r="H363" s="315"/>
      <c r="I363" s="315"/>
      <c r="J363" s="315"/>
      <c r="K363" s="315"/>
      <c r="L363" s="315"/>
      <c r="M363" s="315"/>
      <c r="N363" s="315"/>
      <c r="O363" s="315"/>
      <c r="P363" s="315"/>
      <c r="Q363" s="315"/>
      <c r="R363" s="316"/>
      <c r="S363" s="70"/>
      <c r="T363" s="71" t="s">
        <v>153</v>
      </c>
      <c r="U363" s="41" t="s">
        <v>127</v>
      </c>
      <c r="V363" s="63"/>
    </row>
    <row r="364" spans="1:22">
      <c r="A364" s="61" t="b">
        <v>1</v>
      </c>
      <c r="B364" s="62" t="s">
        <v>35</v>
      </c>
      <c r="C364" s="62"/>
      <c r="D364" s="62" t="b">
        <v>0</v>
      </c>
      <c r="E364" s="62" t="b">
        <v>1</v>
      </c>
      <c r="F364" s="71" t="s">
        <v>34</v>
      </c>
      <c r="G364" s="323" t="s">
        <v>642</v>
      </c>
      <c r="H364" s="324"/>
      <c r="I364" s="324"/>
      <c r="J364" s="324"/>
      <c r="K364" s="324"/>
      <c r="L364" s="324"/>
      <c r="M364" s="324"/>
      <c r="N364" s="324"/>
      <c r="O364" s="324"/>
      <c r="P364" s="324"/>
      <c r="Q364" s="324"/>
      <c r="R364" s="325"/>
      <c r="S364" s="70"/>
      <c r="T364" s="71" t="s">
        <v>153</v>
      </c>
      <c r="U364" s="41" t="s">
        <v>127</v>
      </c>
      <c r="V364" s="63"/>
    </row>
    <row r="365" spans="1:22">
      <c r="A365" s="61" t="b">
        <v>1</v>
      </c>
      <c r="B365" s="62" t="s">
        <v>35</v>
      </c>
      <c r="C365" s="62"/>
      <c r="D365" s="62" t="b">
        <v>0</v>
      </c>
      <c r="E365" s="62" t="b">
        <v>1</v>
      </c>
      <c r="F365" s="71" t="s">
        <v>643</v>
      </c>
      <c r="G365" s="314" t="s">
        <v>644</v>
      </c>
      <c r="H365" s="315"/>
      <c r="I365" s="315"/>
      <c r="J365" s="315"/>
      <c r="K365" s="315"/>
      <c r="L365" s="315"/>
      <c r="M365" s="315"/>
      <c r="N365" s="315"/>
      <c r="O365" s="315"/>
      <c r="P365" s="315"/>
      <c r="Q365" s="315"/>
      <c r="R365" s="316"/>
      <c r="S365" s="70"/>
      <c r="T365" s="71" t="s">
        <v>153</v>
      </c>
      <c r="U365" s="41" t="s">
        <v>127</v>
      </c>
      <c r="V365" s="63"/>
    </row>
    <row r="366" spans="1:22">
      <c r="A366" s="61" t="b">
        <v>1</v>
      </c>
      <c r="B366" s="62" t="s">
        <v>35</v>
      </c>
      <c r="C366" s="62"/>
      <c r="D366" s="62" t="b">
        <v>0</v>
      </c>
      <c r="E366" s="62" t="b">
        <v>1</v>
      </c>
      <c r="F366" s="71" t="s">
        <v>645</v>
      </c>
      <c r="G366" s="314" t="s">
        <v>646</v>
      </c>
      <c r="H366" s="315"/>
      <c r="I366" s="315"/>
      <c r="J366" s="315"/>
      <c r="K366" s="315"/>
      <c r="L366" s="315"/>
      <c r="M366" s="315"/>
      <c r="N366" s="315"/>
      <c r="O366" s="315"/>
      <c r="P366" s="315"/>
      <c r="Q366" s="315"/>
      <c r="R366" s="316"/>
      <c r="S366" s="70"/>
      <c r="T366" s="71" t="s">
        <v>153</v>
      </c>
      <c r="U366" s="41" t="s">
        <v>127</v>
      </c>
      <c r="V366" s="63"/>
    </row>
    <row r="367" spans="1:22">
      <c r="A367" s="61" t="b">
        <v>1</v>
      </c>
      <c r="B367" s="62" t="s">
        <v>35</v>
      </c>
      <c r="C367" s="62"/>
      <c r="D367" s="62" t="b">
        <v>0</v>
      </c>
      <c r="E367" s="62" t="b">
        <v>1</v>
      </c>
      <c r="F367" s="71" t="s">
        <v>647</v>
      </c>
      <c r="G367" s="314" t="s">
        <v>648</v>
      </c>
      <c r="H367" s="315"/>
      <c r="I367" s="315"/>
      <c r="J367" s="315"/>
      <c r="K367" s="315"/>
      <c r="L367" s="315"/>
      <c r="M367" s="315"/>
      <c r="N367" s="315"/>
      <c r="O367" s="315"/>
      <c r="P367" s="315"/>
      <c r="Q367" s="315"/>
      <c r="R367" s="316"/>
      <c r="S367" s="70"/>
      <c r="T367" s="71" t="s">
        <v>153</v>
      </c>
      <c r="U367" s="41" t="s">
        <v>127</v>
      </c>
      <c r="V367" s="63"/>
    </row>
    <row r="368" spans="1:22">
      <c r="A368" s="65"/>
      <c r="B368" s="65" t="s">
        <v>36</v>
      </c>
      <c r="C368" s="65"/>
      <c r="D368" s="65" t="b">
        <v>0</v>
      </c>
      <c r="E368" s="65" t="b">
        <v>1</v>
      </c>
      <c r="F368" s="65" t="s">
        <v>37</v>
      </c>
      <c r="G368" s="299"/>
      <c r="H368" s="300"/>
      <c r="I368" s="300"/>
      <c r="J368" s="300"/>
      <c r="K368" s="300"/>
      <c r="L368" s="300"/>
      <c r="M368" s="300"/>
      <c r="N368" s="300"/>
      <c r="O368" s="300"/>
      <c r="P368" s="300"/>
      <c r="Q368" s="300"/>
      <c r="R368" s="301"/>
      <c r="S368" s="152" t="s">
        <v>121</v>
      </c>
      <c r="T368" s="65"/>
      <c r="U368" s="66"/>
      <c r="V368" s="66"/>
    </row>
    <row r="369" spans="1:22" ht="29">
      <c r="A369" s="61" t="b">
        <v>0</v>
      </c>
      <c r="B369" s="62" t="s">
        <v>38</v>
      </c>
      <c r="C369" s="62"/>
      <c r="D369" s="62" t="b">
        <v>1</v>
      </c>
      <c r="E369" s="62" t="b">
        <v>1</v>
      </c>
      <c r="F369" s="71"/>
      <c r="G369" s="284" t="s">
        <v>649</v>
      </c>
      <c r="H369" s="285"/>
      <c r="I369" s="285"/>
      <c r="J369" s="285"/>
      <c r="K369" s="285"/>
      <c r="L369" s="285"/>
      <c r="M369" s="285"/>
      <c r="N369" s="285"/>
      <c r="O369" s="285"/>
      <c r="P369" s="285"/>
      <c r="Q369" s="285"/>
      <c r="R369" s="286"/>
      <c r="S369" s="70" t="s">
        <v>650</v>
      </c>
      <c r="T369" s="71" t="s">
        <v>160</v>
      </c>
      <c r="U369" s="41" t="s">
        <v>20</v>
      </c>
      <c r="V369" s="99" t="s">
        <v>161</v>
      </c>
    </row>
    <row r="370" spans="1:22" ht="29">
      <c r="A370" s="61" t="b">
        <v>0</v>
      </c>
      <c r="B370" s="62" t="s">
        <v>38</v>
      </c>
      <c r="C370" s="62"/>
      <c r="D370" s="62" t="b">
        <v>1</v>
      </c>
      <c r="E370" s="62" t="b">
        <v>1</v>
      </c>
      <c r="F370" s="71"/>
      <c r="G370" s="284"/>
      <c r="H370" s="285"/>
      <c r="I370" s="285"/>
      <c r="J370" s="285"/>
      <c r="K370" s="285"/>
      <c r="L370" s="285"/>
      <c r="M370" s="285"/>
      <c r="N370" s="285"/>
      <c r="O370" s="285"/>
      <c r="P370" s="285"/>
      <c r="Q370" s="285"/>
      <c r="R370" s="286"/>
      <c r="S370" s="70"/>
      <c r="T370" s="71" t="s">
        <v>160</v>
      </c>
      <c r="U370" s="41" t="s">
        <v>20</v>
      </c>
      <c r="V370" s="99" t="s">
        <v>161</v>
      </c>
    </row>
    <row r="371" spans="1:22" ht="29">
      <c r="A371" s="52" t="s">
        <v>4</v>
      </c>
      <c r="B371" s="52" t="s">
        <v>5</v>
      </c>
      <c r="C371" s="52" t="s">
        <v>6</v>
      </c>
      <c r="D371" s="52" t="s">
        <v>113</v>
      </c>
      <c r="E371" s="52" t="s">
        <v>114</v>
      </c>
      <c r="F371" s="52" t="s">
        <v>9</v>
      </c>
      <c r="G371" s="287" t="s">
        <v>10</v>
      </c>
      <c r="H371" s="288"/>
      <c r="I371" s="288"/>
      <c r="J371" s="288"/>
      <c r="K371" s="288"/>
      <c r="L371" s="288"/>
      <c r="M371" s="288"/>
      <c r="N371" s="288"/>
      <c r="O371" s="288"/>
      <c r="P371" s="288"/>
      <c r="Q371" s="288"/>
      <c r="R371" s="289"/>
      <c r="S371" s="151"/>
      <c r="T371" s="52" t="s">
        <v>12</v>
      </c>
      <c r="U371" s="16" t="s">
        <v>13</v>
      </c>
      <c r="V371" s="16" t="s">
        <v>14</v>
      </c>
    </row>
    <row r="372" spans="1:22">
      <c r="A372" s="55"/>
      <c r="B372" s="56" t="s">
        <v>15</v>
      </c>
      <c r="C372" s="56"/>
      <c r="D372" s="56" t="b">
        <v>0</v>
      </c>
      <c r="E372" s="56" t="b">
        <v>1</v>
      </c>
      <c r="F372" s="56"/>
      <c r="G372" s="290" t="s">
        <v>651</v>
      </c>
      <c r="H372" s="291"/>
      <c r="I372" s="291"/>
      <c r="J372" s="291"/>
      <c r="K372" s="291"/>
      <c r="L372" s="291"/>
      <c r="M372" s="291"/>
      <c r="N372" s="291"/>
      <c r="O372" s="291"/>
      <c r="P372" s="291"/>
      <c r="Q372" s="291"/>
      <c r="R372" s="292"/>
      <c r="S372" s="72"/>
      <c r="T372" s="56"/>
      <c r="U372" s="57"/>
      <c r="V372" s="57"/>
    </row>
    <row r="373" spans="1:22" ht="29">
      <c r="A373" s="58"/>
      <c r="B373" s="59" t="s">
        <v>17</v>
      </c>
      <c r="C373" s="59"/>
      <c r="D373" s="59" t="b">
        <v>0</v>
      </c>
      <c r="E373" s="59" t="b">
        <v>1</v>
      </c>
      <c r="F373" s="59" t="s">
        <v>18</v>
      </c>
      <c r="G373" s="293" t="s">
        <v>652</v>
      </c>
      <c r="H373" s="294"/>
      <c r="I373" s="294"/>
      <c r="J373" s="294"/>
      <c r="K373" s="294"/>
      <c r="L373" s="294"/>
      <c r="M373" s="294"/>
      <c r="N373" s="294"/>
      <c r="O373" s="294"/>
      <c r="P373" s="294"/>
      <c r="Q373" s="294"/>
      <c r="R373" s="295"/>
      <c r="S373" s="73"/>
      <c r="T373" s="135" t="s">
        <v>120</v>
      </c>
      <c r="U373" s="41" t="s">
        <v>20</v>
      </c>
      <c r="V373" s="60"/>
    </row>
    <row r="374" spans="1:22" hidden="1">
      <c r="A374" s="61" t="b">
        <v>1</v>
      </c>
      <c r="B374" s="62" t="s">
        <v>21</v>
      </c>
      <c r="C374" s="62"/>
      <c r="D374" s="62" t="b">
        <v>0</v>
      </c>
      <c r="E374" s="62" t="b">
        <v>1</v>
      </c>
      <c r="F374" s="71" t="s">
        <v>22</v>
      </c>
      <c r="G374" s="54" t="s">
        <v>57</v>
      </c>
      <c r="H374" s="54"/>
      <c r="I374" s="54"/>
      <c r="J374" s="54"/>
      <c r="K374" s="54"/>
      <c r="L374" s="54"/>
      <c r="M374" s="54"/>
      <c r="N374" s="54"/>
      <c r="O374" s="54"/>
      <c r="P374" s="54"/>
      <c r="Q374" s="54"/>
      <c r="R374" s="54"/>
      <c r="S374" s="70"/>
      <c r="T374" s="71"/>
      <c r="U374" s="54"/>
      <c r="V374" s="63"/>
    </row>
    <row r="375" spans="1:22" hidden="1">
      <c r="A375" s="61" t="b">
        <v>0</v>
      </c>
      <c r="B375" s="62" t="s">
        <v>24</v>
      </c>
      <c r="C375" s="62"/>
      <c r="D375" s="62" t="b">
        <v>0</v>
      </c>
      <c r="E375" s="62" t="b">
        <v>1</v>
      </c>
      <c r="F375" s="71" t="s">
        <v>25</v>
      </c>
      <c r="G375" s="54">
        <v>1</v>
      </c>
      <c r="H375" s="54"/>
      <c r="I375" s="54"/>
      <c r="J375" s="54"/>
      <c r="K375" s="54"/>
      <c r="L375" s="54"/>
      <c r="M375" s="54"/>
      <c r="N375" s="54"/>
      <c r="O375" s="54"/>
      <c r="P375" s="54"/>
      <c r="Q375" s="54"/>
      <c r="R375" s="54"/>
      <c r="S375" s="70"/>
      <c r="T375" s="71"/>
      <c r="U375" s="54"/>
      <c r="V375" s="63"/>
    </row>
    <row r="376" spans="1:22" hidden="1">
      <c r="A376" s="61" t="b">
        <v>0</v>
      </c>
      <c r="B376" s="62" t="s">
        <v>26</v>
      </c>
      <c r="C376" s="62"/>
      <c r="D376" s="62" t="b">
        <v>0</v>
      </c>
      <c r="E376" s="62" t="b">
        <v>1</v>
      </c>
      <c r="F376" s="71" t="s">
        <v>27</v>
      </c>
      <c r="G376" s="54"/>
      <c r="H376" s="54"/>
      <c r="I376" s="54"/>
      <c r="J376" s="54"/>
      <c r="K376" s="54"/>
      <c r="L376" s="54"/>
      <c r="M376" s="54"/>
      <c r="N376" s="54"/>
      <c r="O376" s="54"/>
      <c r="P376" s="54"/>
      <c r="Q376" s="54"/>
      <c r="R376" s="54"/>
      <c r="S376" s="70"/>
      <c r="T376" s="71"/>
      <c r="U376" s="54"/>
      <c r="V376" s="63"/>
    </row>
    <row r="377" spans="1:22" hidden="1">
      <c r="A377" s="57" t="b">
        <v>1</v>
      </c>
      <c r="B377" s="57" t="s">
        <v>28</v>
      </c>
      <c r="C377" s="57"/>
      <c r="D377" s="57" t="b">
        <v>0</v>
      </c>
      <c r="E377" s="57" t="b">
        <v>1</v>
      </c>
      <c r="F377" s="56"/>
      <c r="G377" s="57" t="s">
        <v>651</v>
      </c>
      <c r="H377" s="57"/>
      <c r="I377" s="57"/>
      <c r="J377" s="57"/>
      <c r="K377" s="57"/>
      <c r="L377" s="57"/>
      <c r="M377" s="57"/>
      <c r="N377" s="57"/>
      <c r="O377" s="57"/>
      <c r="P377" s="57"/>
      <c r="Q377" s="57"/>
      <c r="R377" s="57"/>
      <c r="S377" s="72"/>
      <c r="T377" s="56"/>
      <c r="U377" s="57"/>
      <c r="V377" s="57"/>
    </row>
    <row r="378" spans="1:22" hidden="1">
      <c r="A378" s="59"/>
      <c r="B378" s="59" t="s">
        <v>31</v>
      </c>
      <c r="C378" s="59"/>
      <c r="D378" s="59" t="b">
        <v>0</v>
      </c>
      <c r="E378" s="59" t="b">
        <v>1</v>
      </c>
      <c r="F378" s="59" t="s">
        <v>32</v>
      </c>
      <c r="G378" s="59"/>
      <c r="H378" s="59"/>
      <c r="I378" s="59"/>
      <c r="J378" s="59"/>
      <c r="K378" s="59"/>
      <c r="L378" s="59"/>
      <c r="M378" s="59"/>
      <c r="N378" s="59"/>
      <c r="O378" s="59"/>
      <c r="P378" s="59"/>
      <c r="Q378" s="59"/>
      <c r="R378" s="59"/>
      <c r="S378" s="73" t="s">
        <v>121</v>
      </c>
      <c r="T378" s="59"/>
      <c r="U378" s="59"/>
      <c r="V378" s="59"/>
    </row>
    <row r="379" spans="1:22" ht="29">
      <c r="A379" s="59"/>
      <c r="B379" s="59"/>
      <c r="C379" s="59"/>
      <c r="D379" s="59"/>
      <c r="E379" s="59"/>
      <c r="F379" s="71" t="s">
        <v>34</v>
      </c>
      <c r="G379" s="441" t="s">
        <v>653</v>
      </c>
      <c r="H379" s="442"/>
      <c r="I379" s="442"/>
      <c r="J379" s="442"/>
      <c r="K379" s="442"/>
      <c r="L379" s="442"/>
      <c r="M379" s="442"/>
      <c r="N379" s="442"/>
      <c r="O379" s="442"/>
      <c r="P379" s="442"/>
      <c r="Q379" s="442"/>
      <c r="R379" s="443"/>
      <c r="S379" s="70"/>
      <c r="T379" s="71" t="s">
        <v>126</v>
      </c>
      <c r="U379" s="41" t="s">
        <v>127</v>
      </c>
      <c r="V379" s="63"/>
    </row>
    <row r="380" spans="1:22" ht="29">
      <c r="A380" s="61" t="b">
        <v>1</v>
      </c>
      <c r="B380" s="62" t="s">
        <v>35</v>
      </c>
      <c r="C380" s="62"/>
      <c r="D380" s="62" t="b">
        <v>1</v>
      </c>
      <c r="E380" s="62" t="b">
        <v>1</v>
      </c>
      <c r="F380" s="186" t="s">
        <v>654</v>
      </c>
      <c r="G380" s="342" t="s">
        <v>655</v>
      </c>
      <c r="H380" s="342"/>
      <c r="I380" s="342"/>
      <c r="J380" s="342"/>
      <c r="K380" s="342"/>
      <c r="L380" s="342"/>
      <c r="M380" s="342"/>
      <c r="N380" s="342"/>
      <c r="O380" s="342"/>
      <c r="P380" s="342"/>
      <c r="Q380" s="342"/>
      <c r="R380" s="343"/>
      <c r="S380" s="70" t="s">
        <v>656</v>
      </c>
      <c r="T380" s="71" t="s">
        <v>126</v>
      </c>
      <c r="U380" s="41" t="s">
        <v>127</v>
      </c>
      <c r="V380" s="63"/>
    </row>
    <row r="381" spans="1:22" ht="29">
      <c r="A381" s="61" t="b">
        <v>1</v>
      </c>
      <c r="B381" s="62" t="s">
        <v>35</v>
      </c>
      <c r="C381" s="62"/>
      <c r="D381" s="62" t="b">
        <v>1</v>
      </c>
      <c r="E381" s="62" t="b">
        <v>1</v>
      </c>
      <c r="F381" s="186" t="s">
        <v>657</v>
      </c>
      <c r="G381" s="342" t="s">
        <v>658</v>
      </c>
      <c r="H381" s="342"/>
      <c r="I381" s="342"/>
      <c r="J381" s="342"/>
      <c r="K381" s="342"/>
      <c r="L381" s="342"/>
      <c r="M381" s="342"/>
      <c r="N381" s="342"/>
      <c r="O381" s="342"/>
      <c r="P381" s="342"/>
      <c r="Q381" s="342"/>
      <c r="R381" s="343"/>
      <c r="S381" s="70" t="s">
        <v>659</v>
      </c>
      <c r="T381" s="71" t="s">
        <v>126</v>
      </c>
      <c r="U381" s="41" t="s">
        <v>127</v>
      </c>
      <c r="V381" s="63"/>
    </row>
    <row r="382" spans="1:22" ht="29">
      <c r="A382" s="61" t="b">
        <v>1</v>
      </c>
      <c r="B382" s="62" t="s">
        <v>35</v>
      </c>
      <c r="C382" s="62"/>
      <c r="D382" s="62" t="b">
        <v>1</v>
      </c>
      <c r="E382" s="62" t="b">
        <v>1</v>
      </c>
      <c r="F382" s="186" t="s">
        <v>660</v>
      </c>
      <c r="G382" s="342" t="s">
        <v>661</v>
      </c>
      <c r="H382" s="342"/>
      <c r="I382" s="342"/>
      <c r="J382" s="342"/>
      <c r="K382" s="342"/>
      <c r="L382" s="342"/>
      <c r="M382" s="342"/>
      <c r="N382" s="342"/>
      <c r="O382" s="342"/>
      <c r="P382" s="342"/>
      <c r="Q382" s="342"/>
      <c r="R382" s="343"/>
      <c r="S382" s="70" t="s">
        <v>662</v>
      </c>
      <c r="T382" s="71" t="s">
        <v>126</v>
      </c>
      <c r="U382" s="41" t="s">
        <v>127</v>
      </c>
      <c r="V382" s="63"/>
    </row>
    <row r="383" spans="1:22" ht="29">
      <c r="A383" s="61" t="b">
        <v>1</v>
      </c>
      <c r="B383" s="62" t="s">
        <v>35</v>
      </c>
      <c r="C383" s="62"/>
      <c r="D383" s="62" t="b">
        <v>1</v>
      </c>
      <c r="E383" s="62" t="b">
        <v>1</v>
      </c>
      <c r="F383" s="186" t="s">
        <v>663</v>
      </c>
      <c r="G383" s="342" t="s">
        <v>664</v>
      </c>
      <c r="H383" s="342"/>
      <c r="I383" s="342"/>
      <c r="J383" s="342"/>
      <c r="K383" s="342"/>
      <c r="L383" s="342"/>
      <c r="M383" s="342"/>
      <c r="N383" s="342"/>
      <c r="O383" s="342"/>
      <c r="P383" s="342"/>
      <c r="Q383" s="342"/>
      <c r="R383" s="343"/>
      <c r="S383" s="70" t="s">
        <v>665</v>
      </c>
      <c r="T383" s="71" t="s">
        <v>126</v>
      </c>
      <c r="U383" s="41" t="s">
        <v>127</v>
      </c>
      <c r="V383" s="63"/>
    </row>
    <row r="384" spans="1:22" ht="29">
      <c r="A384" s="61" t="b">
        <v>1</v>
      </c>
      <c r="B384" s="62" t="s">
        <v>35</v>
      </c>
      <c r="C384" s="62"/>
      <c r="D384" s="62" t="b">
        <v>1</v>
      </c>
      <c r="E384" s="62" t="b">
        <v>1</v>
      </c>
      <c r="F384" s="186" t="s">
        <v>666</v>
      </c>
      <c r="G384" s="342" t="s">
        <v>667</v>
      </c>
      <c r="H384" s="342"/>
      <c r="I384" s="342"/>
      <c r="J384" s="342"/>
      <c r="K384" s="342"/>
      <c r="L384" s="342"/>
      <c r="M384" s="342"/>
      <c r="N384" s="342"/>
      <c r="O384" s="342"/>
      <c r="P384" s="342"/>
      <c r="Q384" s="342"/>
      <c r="R384" s="343"/>
      <c r="S384" s="70" t="s">
        <v>668</v>
      </c>
      <c r="T384" s="71" t="s">
        <v>126</v>
      </c>
      <c r="U384" s="41" t="s">
        <v>127</v>
      </c>
      <c r="V384" s="63"/>
    </row>
    <row r="385" spans="1:22" ht="29">
      <c r="A385" s="61" t="b">
        <v>1</v>
      </c>
      <c r="B385" s="62" t="s">
        <v>35</v>
      </c>
      <c r="C385" s="62"/>
      <c r="D385" s="62" t="b">
        <v>1</v>
      </c>
      <c r="E385" s="62" t="b">
        <v>1</v>
      </c>
      <c r="F385" s="186" t="s">
        <v>669</v>
      </c>
      <c r="G385" s="342" t="s">
        <v>670</v>
      </c>
      <c r="H385" s="342"/>
      <c r="I385" s="342"/>
      <c r="J385" s="342"/>
      <c r="K385" s="342"/>
      <c r="L385" s="342"/>
      <c r="M385" s="342"/>
      <c r="N385" s="342"/>
      <c r="O385" s="342"/>
      <c r="P385" s="342"/>
      <c r="Q385" s="342"/>
      <c r="R385" s="343"/>
      <c r="S385" s="70" t="s">
        <v>671</v>
      </c>
      <c r="T385" s="71" t="s">
        <v>126</v>
      </c>
      <c r="U385" s="41" t="s">
        <v>127</v>
      </c>
      <c r="V385" s="63"/>
    </row>
    <row r="386" spans="1:22" ht="29">
      <c r="A386" s="61" t="b">
        <v>1</v>
      </c>
      <c r="B386" s="62" t="s">
        <v>35</v>
      </c>
      <c r="C386" s="62"/>
      <c r="D386" s="62" t="b">
        <v>1</v>
      </c>
      <c r="E386" s="62" t="b">
        <v>1</v>
      </c>
      <c r="F386" s="186" t="s">
        <v>672</v>
      </c>
      <c r="G386" s="342" t="s">
        <v>673</v>
      </c>
      <c r="H386" s="342"/>
      <c r="I386" s="342"/>
      <c r="J386" s="342"/>
      <c r="K386" s="342"/>
      <c r="L386" s="342"/>
      <c r="M386" s="342"/>
      <c r="N386" s="342"/>
      <c r="O386" s="342"/>
      <c r="P386" s="342"/>
      <c r="Q386" s="342"/>
      <c r="R386" s="343"/>
      <c r="S386" s="70" t="s">
        <v>674</v>
      </c>
      <c r="T386" s="71" t="s">
        <v>126</v>
      </c>
      <c r="U386" s="41" t="s">
        <v>127</v>
      </c>
      <c r="V386" s="63"/>
    </row>
    <row r="387" spans="1:22" ht="29">
      <c r="A387" s="61" t="b">
        <v>1</v>
      </c>
      <c r="B387" s="62" t="s">
        <v>35</v>
      </c>
      <c r="C387" s="62"/>
      <c r="D387" s="62" t="b">
        <v>1</v>
      </c>
      <c r="E387" s="62" t="b">
        <v>1</v>
      </c>
      <c r="F387" s="186" t="s">
        <v>675</v>
      </c>
      <c r="G387" s="342" t="s">
        <v>676</v>
      </c>
      <c r="H387" s="342"/>
      <c r="I387" s="342"/>
      <c r="J387" s="342"/>
      <c r="K387" s="342"/>
      <c r="L387" s="342"/>
      <c r="M387" s="342"/>
      <c r="N387" s="342"/>
      <c r="O387" s="342"/>
      <c r="P387" s="342"/>
      <c r="Q387" s="342"/>
      <c r="R387" s="343"/>
      <c r="S387" s="70" t="s">
        <v>526</v>
      </c>
      <c r="T387" s="71" t="s">
        <v>126</v>
      </c>
      <c r="U387" s="41" t="s">
        <v>127</v>
      </c>
      <c r="V387" s="63"/>
    </row>
    <row r="388" spans="1:22" ht="29">
      <c r="A388" s="61" t="b">
        <v>1</v>
      </c>
      <c r="B388" s="62" t="s">
        <v>35</v>
      </c>
      <c r="C388" s="62"/>
      <c r="D388" s="62" t="b">
        <v>1</v>
      </c>
      <c r="E388" s="62" t="b">
        <v>1</v>
      </c>
      <c r="F388" s="186" t="s">
        <v>677</v>
      </c>
      <c r="G388" s="342" t="s">
        <v>678</v>
      </c>
      <c r="H388" s="342"/>
      <c r="I388" s="342"/>
      <c r="J388" s="342"/>
      <c r="K388" s="342"/>
      <c r="L388" s="342"/>
      <c r="M388" s="342"/>
      <c r="N388" s="342"/>
      <c r="O388" s="342"/>
      <c r="P388" s="342"/>
      <c r="Q388" s="342"/>
      <c r="R388" s="343"/>
      <c r="S388" s="70" t="s">
        <v>526</v>
      </c>
      <c r="T388" s="71" t="s">
        <v>126</v>
      </c>
      <c r="U388" s="41" t="s">
        <v>127</v>
      </c>
      <c r="V388" s="63"/>
    </row>
    <row r="389" spans="1:22" ht="29">
      <c r="A389" s="61" t="b">
        <v>1</v>
      </c>
      <c r="B389" s="62" t="s">
        <v>35</v>
      </c>
      <c r="C389" s="62"/>
      <c r="D389" s="62" t="b">
        <v>1</v>
      </c>
      <c r="E389" s="62" t="b">
        <v>1</v>
      </c>
      <c r="F389" s="186" t="s">
        <v>679</v>
      </c>
      <c r="G389" s="342" t="s">
        <v>680</v>
      </c>
      <c r="H389" s="342"/>
      <c r="I389" s="342"/>
      <c r="J389" s="342"/>
      <c r="K389" s="342"/>
      <c r="L389" s="342"/>
      <c r="M389" s="342"/>
      <c r="N389" s="342"/>
      <c r="O389" s="342"/>
      <c r="P389" s="342"/>
      <c r="Q389" s="342"/>
      <c r="R389" s="343"/>
      <c r="S389" s="70" t="s">
        <v>681</v>
      </c>
      <c r="T389" s="71" t="s">
        <v>126</v>
      </c>
      <c r="U389" s="41" t="s">
        <v>127</v>
      </c>
      <c r="V389" s="63"/>
    </row>
    <row r="390" spans="1:22" ht="29">
      <c r="A390" s="61" t="b">
        <v>1</v>
      </c>
      <c r="B390" s="62" t="s">
        <v>35</v>
      </c>
      <c r="C390" s="62"/>
      <c r="D390" s="62" t="b">
        <v>1</v>
      </c>
      <c r="E390" s="62" t="b">
        <v>1</v>
      </c>
      <c r="F390" s="186" t="s">
        <v>682</v>
      </c>
      <c r="G390" s="342" t="s">
        <v>683</v>
      </c>
      <c r="H390" s="342"/>
      <c r="I390" s="342"/>
      <c r="J390" s="342"/>
      <c r="K390" s="342"/>
      <c r="L390" s="342"/>
      <c r="M390" s="342"/>
      <c r="N390" s="342"/>
      <c r="O390" s="342"/>
      <c r="P390" s="342"/>
      <c r="Q390" s="342"/>
      <c r="R390" s="343"/>
      <c r="S390" s="70" t="s">
        <v>684</v>
      </c>
      <c r="T390" s="71" t="s">
        <v>126</v>
      </c>
      <c r="U390" s="41" t="s">
        <v>127</v>
      </c>
      <c r="V390" s="63"/>
    </row>
    <row r="391" spans="1:22" ht="36" customHeight="1">
      <c r="A391" s="61"/>
      <c r="B391" s="62"/>
      <c r="C391" s="62"/>
      <c r="D391" s="62"/>
      <c r="E391" s="62"/>
      <c r="F391" s="186" t="s">
        <v>685</v>
      </c>
      <c r="G391" s="342" t="s">
        <v>686</v>
      </c>
      <c r="H391" s="342"/>
      <c r="I391" s="342"/>
      <c r="J391" s="342"/>
      <c r="K391" s="342"/>
      <c r="L391" s="342"/>
      <c r="M391" s="342"/>
      <c r="N391" s="342"/>
      <c r="O391" s="342"/>
      <c r="P391" s="342"/>
      <c r="Q391" s="342"/>
      <c r="R391" s="343"/>
      <c r="S391" s="70" t="s">
        <v>687</v>
      </c>
      <c r="T391" s="71" t="s">
        <v>126</v>
      </c>
      <c r="U391" s="41" t="s">
        <v>127</v>
      </c>
      <c r="V391" s="63"/>
    </row>
    <row r="392" spans="1:22" ht="36" customHeight="1">
      <c r="A392" s="61"/>
      <c r="B392" s="62"/>
      <c r="C392" s="62"/>
      <c r="D392" s="62"/>
      <c r="E392" s="62"/>
      <c r="F392" s="186" t="s">
        <v>34</v>
      </c>
      <c r="G392" s="444" t="s">
        <v>688</v>
      </c>
      <c r="H392" s="444"/>
      <c r="I392" s="444"/>
      <c r="J392" s="444"/>
      <c r="K392" s="444"/>
      <c r="L392" s="444"/>
      <c r="M392" s="444"/>
      <c r="N392" s="444"/>
      <c r="O392" s="444"/>
      <c r="P392" s="444"/>
      <c r="Q392" s="444"/>
      <c r="R392" s="445"/>
      <c r="S392" s="70" t="s">
        <v>689</v>
      </c>
      <c r="T392" s="71" t="s">
        <v>126</v>
      </c>
      <c r="U392" s="41" t="s">
        <v>127</v>
      </c>
      <c r="V392" s="63"/>
    </row>
    <row r="393" spans="1:22" ht="29">
      <c r="A393" s="61" t="b">
        <v>1</v>
      </c>
      <c r="B393" s="62" t="s">
        <v>35</v>
      </c>
      <c r="C393" s="62"/>
      <c r="D393" s="62" t="b">
        <v>0</v>
      </c>
      <c r="E393" s="62" t="b">
        <v>1</v>
      </c>
      <c r="F393" s="186" t="s">
        <v>690</v>
      </c>
      <c r="G393" s="342" t="s">
        <v>691</v>
      </c>
      <c r="H393" s="342"/>
      <c r="I393" s="342"/>
      <c r="J393" s="342"/>
      <c r="K393" s="342"/>
      <c r="L393" s="342"/>
      <c r="M393" s="342"/>
      <c r="N393" s="342"/>
      <c r="O393" s="342"/>
      <c r="P393" s="342"/>
      <c r="Q393" s="342"/>
      <c r="R393" s="343"/>
      <c r="S393" s="70"/>
      <c r="T393" s="71" t="s">
        <v>126</v>
      </c>
      <c r="U393" s="41" t="s">
        <v>127</v>
      </c>
      <c r="V393" s="63"/>
    </row>
    <row r="394" spans="1:22" ht="29">
      <c r="A394" s="61" t="b">
        <v>1</v>
      </c>
      <c r="B394" s="62" t="s">
        <v>35</v>
      </c>
      <c r="C394" s="62"/>
      <c r="D394" s="62" t="b">
        <v>1</v>
      </c>
      <c r="E394" s="62" t="b">
        <v>1</v>
      </c>
      <c r="F394" s="186" t="s">
        <v>692</v>
      </c>
      <c r="G394" s="342" t="s">
        <v>693</v>
      </c>
      <c r="H394" s="342"/>
      <c r="I394" s="342"/>
      <c r="J394" s="342"/>
      <c r="K394" s="342"/>
      <c r="L394" s="342"/>
      <c r="M394" s="342"/>
      <c r="N394" s="342"/>
      <c r="O394" s="342"/>
      <c r="P394" s="342"/>
      <c r="Q394" s="342"/>
      <c r="R394" s="343"/>
      <c r="S394" s="70" t="s">
        <v>694</v>
      </c>
      <c r="T394" s="71" t="s">
        <v>126</v>
      </c>
      <c r="U394" s="41" t="s">
        <v>127</v>
      </c>
      <c r="V394" s="63"/>
    </row>
    <row r="395" spans="1:22" ht="29">
      <c r="A395" s="61" t="b">
        <v>1</v>
      </c>
      <c r="B395" s="62" t="s">
        <v>35</v>
      </c>
      <c r="C395" s="62"/>
      <c r="D395" s="62" t="b">
        <v>1</v>
      </c>
      <c r="E395" s="62" t="b">
        <v>1</v>
      </c>
      <c r="F395" s="186" t="s">
        <v>695</v>
      </c>
      <c r="G395" s="342" t="s">
        <v>696</v>
      </c>
      <c r="H395" s="342"/>
      <c r="I395" s="342"/>
      <c r="J395" s="342"/>
      <c r="K395" s="342"/>
      <c r="L395" s="342"/>
      <c r="M395" s="342"/>
      <c r="N395" s="342"/>
      <c r="O395" s="342"/>
      <c r="P395" s="342"/>
      <c r="Q395" s="342"/>
      <c r="R395" s="343"/>
      <c r="S395" s="70" t="s">
        <v>697</v>
      </c>
      <c r="T395" s="71" t="s">
        <v>126</v>
      </c>
      <c r="U395" s="41" t="s">
        <v>127</v>
      </c>
      <c r="V395" s="63"/>
    </row>
    <row r="396" spans="1:22" ht="29">
      <c r="A396" s="61" t="b">
        <v>1</v>
      </c>
      <c r="B396" s="62" t="s">
        <v>35</v>
      </c>
      <c r="C396" s="62"/>
      <c r="D396" s="62" t="b">
        <v>1</v>
      </c>
      <c r="E396" s="62" t="b">
        <v>1</v>
      </c>
      <c r="F396" s="186" t="s">
        <v>698</v>
      </c>
      <c r="G396" s="342" t="s">
        <v>699</v>
      </c>
      <c r="H396" s="342"/>
      <c r="I396" s="342"/>
      <c r="J396" s="342"/>
      <c r="K396" s="342"/>
      <c r="L396" s="342"/>
      <c r="M396" s="342"/>
      <c r="N396" s="342"/>
      <c r="O396" s="342"/>
      <c r="P396" s="342"/>
      <c r="Q396" s="342"/>
      <c r="R396" s="343"/>
      <c r="S396" s="70" t="s">
        <v>700</v>
      </c>
      <c r="T396" s="71" t="s">
        <v>126</v>
      </c>
      <c r="U396" s="41" t="s">
        <v>127</v>
      </c>
      <c r="V396" s="63"/>
    </row>
    <row r="397" spans="1:22" ht="29">
      <c r="A397" s="61" t="b">
        <v>1</v>
      </c>
      <c r="B397" s="62" t="s">
        <v>35</v>
      </c>
      <c r="C397" s="62"/>
      <c r="D397" s="62" t="b">
        <v>1</v>
      </c>
      <c r="E397" s="62" t="b">
        <v>1</v>
      </c>
      <c r="F397" s="186" t="s">
        <v>701</v>
      </c>
      <c r="G397" s="342" t="s">
        <v>702</v>
      </c>
      <c r="H397" s="342"/>
      <c r="I397" s="342"/>
      <c r="J397" s="342"/>
      <c r="K397" s="342"/>
      <c r="L397" s="342"/>
      <c r="M397" s="342"/>
      <c r="N397" s="342"/>
      <c r="O397" s="342"/>
      <c r="P397" s="342"/>
      <c r="Q397" s="342"/>
      <c r="R397" s="343"/>
      <c r="S397" s="70" t="s">
        <v>703</v>
      </c>
      <c r="T397" s="71" t="s">
        <v>126</v>
      </c>
      <c r="U397" s="41" t="s">
        <v>127</v>
      </c>
      <c r="V397" s="63"/>
    </row>
    <row r="398" spans="1:22" ht="29">
      <c r="A398" s="61" t="b">
        <v>1</v>
      </c>
      <c r="B398" s="62" t="s">
        <v>35</v>
      </c>
      <c r="C398" s="62"/>
      <c r="D398" s="62" t="b">
        <v>1</v>
      </c>
      <c r="E398" s="62" t="b">
        <v>1</v>
      </c>
      <c r="F398" s="186" t="s">
        <v>704</v>
      </c>
      <c r="G398" s="342" t="s">
        <v>705</v>
      </c>
      <c r="H398" s="342"/>
      <c r="I398" s="342"/>
      <c r="J398" s="342"/>
      <c r="K398" s="342"/>
      <c r="L398" s="342"/>
      <c r="M398" s="342"/>
      <c r="N398" s="342"/>
      <c r="O398" s="342"/>
      <c r="P398" s="342"/>
      <c r="Q398" s="342"/>
      <c r="R398" s="343"/>
      <c r="S398" s="70" t="s">
        <v>706</v>
      </c>
      <c r="T398" s="71" t="s">
        <v>126</v>
      </c>
      <c r="U398" s="41" t="s">
        <v>127</v>
      </c>
      <c r="V398" s="63"/>
    </row>
    <row r="399" spans="1:22" ht="29">
      <c r="A399" s="61" t="b">
        <v>1</v>
      </c>
      <c r="B399" s="62" t="s">
        <v>35</v>
      </c>
      <c r="C399" s="62"/>
      <c r="D399" s="62" t="b">
        <v>1</v>
      </c>
      <c r="E399" s="62" t="b">
        <v>1</v>
      </c>
      <c r="F399" s="186" t="s">
        <v>707</v>
      </c>
      <c r="G399" s="342" t="s">
        <v>708</v>
      </c>
      <c r="H399" s="342"/>
      <c r="I399" s="342"/>
      <c r="J399" s="342"/>
      <c r="K399" s="342"/>
      <c r="L399" s="342"/>
      <c r="M399" s="342"/>
      <c r="N399" s="342"/>
      <c r="O399" s="342"/>
      <c r="P399" s="342"/>
      <c r="Q399" s="342"/>
      <c r="R399" s="343"/>
      <c r="S399" s="70" t="s">
        <v>709</v>
      </c>
      <c r="T399" s="71" t="s">
        <v>126</v>
      </c>
      <c r="U399" s="41" t="s">
        <v>127</v>
      </c>
      <c r="V399" s="63"/>
    </row>
    <row r="400" spans="1:22" ht="29">
      <c r="A400" s="61"/>
      <c r="B400" s="62"/>
      <c r="C400" s="62"/>
      <c r="D400" s="62"/>
      <c r="E400" s="62"/>
      <c r="F400" s="186" t="s">
        <v>710</v>
      </c>
      <c r="G400" s="342" t="s">
        <v>711</v>
      </c>
      <c r="H400" s="342"/>
      <c r="I400" s="342"/>
      <c r="J400" s="342"/>
      <c r="K400" s="342"/>
      <c r="L400" s="342"/>
      <c r="M400" s="342"/>
      <c r="N400" s="342"/>
      <c r="O400" s="342"/>
      <c r="P400" s="342"/>
      <c r="Q400" s="342"/>
      <c r="R400" s="343"/>
      <c r="S400" s="70" t="s">
        <v>683</v>
      </c>
      <c r="T400" s="71" t="s">
        <v>126</v>
      </c>
      <c r="U400" s="41" t="s">
        <v>127</v>
      </c>
      <c r="V400" s="63"/>
    </row>
    <row r="401" spans="1:23" ht="29">
      <c r="A401" s="61" t="b">
        <v>1</v>
      </c>
      <c r="B401" s="62" t="s">
        <v>35</v>
      </c>
      <c r="C401" s="62"/>
      <c r="D401" s="62" t="b">
        <v>0</v>
      </c>
      <c r="E401" s="62" t="b">
        <v>1</v>
      </c>
      <c r="F401" s="186" t="s">
        <v>34</v>
      </c>
      <c r="G401" s="446" t="s">
        <v>712</v>
      </c>
      <c r="H401" s="446"/>
      <c r="I401" s="446"/>
      <c r="J401" s="446"/>
      <c r="K401" s="446"/>
      <c r="L401" s="446"/>
      <c r="M401" s="446"/>
      <c r="N401" s="446"/>
      <c r="O401" s="446"/>
      <c r="P401" s="446"/>
      <c r="Q401" s="446"/>
      <c r="R401" s="447"/>
      <c r="S401" s="70"/>
      <c r="T401" s="71" t="s">
        <v>126</v>
      </c>
      <c r="U401" s="41" t="s">
        <v>127</v>
      </c>
      <c r="V401" s="63"/>
    </row>
    <row r="402" spans="1:23" ht="29">
      <c r="A402" s="61" t="b">
        <v>1</v>
      </c>
      <c r="B402" s="62" t="s">
        <v>713</v>
      </c>
      <c r="C402" s="62"/>
      <c r="D402" s="62" t="b">
        <v>1</v>
      </c>
      <c r="E402" s="62" t="b">
        <v>1</v>
      </c>
      <c r="F402" s="186" t="s">
        <v>714</v>
      </c>
      <c r="G402" s="342" t="s">
        <v>715</v>
      </c>
      <c r="H402" s="342"/>
      <c r="I402" s="342"/>
      <c r="J402" s="342"/>
      <c r="K402" s="342"/>
      <c r="L402" s="342"/>
      <c r="M402" s="342"/>
      <c r="N402" s="342"/>
      <c r="O402" s="342"/>
      <c r="P402" s="342"/>
      <c r="Q402" s="342"/>
      <c r="R402" s="343"/>
      <c r="S402" s="70" t="s">
        <v>716</v>
      </c>
      <c r="T402" s="71" t="s">
        <v>126</v>
      </c>
      <c r="U402" s="41" t="s">
        <v>127</v>
      </c>
      <c r="V402" s="63"/>
    </row>
    <row r="403" spans="1:23" ht="29">
      <c r="A403" s="61" t="b">
        <v>1</v>
      </c>
      <c r="B403" s="62" t="s">
        <v>713</v>
      </c>
      <c r="C403" s="62"/>
      <c r="D403" s="62" t="b">
        <v>1</v>
      </c>
      <c r="E403" s="62" t="b">
        <v>1</v>
      </c>
      <c r="F403" s="186" t="s">
        <v>717</v>
      </c>
      <c r="G403" s="342" t="s">
        <v>718</v>
      </c>
      <c r="H403" s="342"/>
      <c r="I403" s="342"/>
      <c r="J403" s="342"/>
      <c r="K403" s="342"/>
      <c r="L403" s="342"/>
      <c r="M403" s="342"/>
      <c r="N403" s="342"/>
      <c r="O403" s="342"/>
      <c r="P403" s="342"/>
      <c r="Q403" s="342"/>
      <c r="R403" s="343"/>
      <c r="S403" s="70" t="s">
        <v>719</v>
      </c>
      <c r="T403" s="71" t="s">
        <v>126</v>
      </c>
      <c r="U403" s="41" t="s">
        <v>127</v>
      </c>
      <c r="V403" s="63"/>
    </row>
    <row r="404" spans="1:23" ht="29">
      <c r="A404" s="61" t="b">
        <v>1</v>
      </c>
      <c r="B404" s="62" t="s">
        <v>713</v>
      </c>
      <c r="C404" s="62"/>
      <c r="D404" s="62" t="b">
        <v>1</v>
      </c>
      <c r="E404" s="62" t="b">
        <v>1</v>
      </c>
      <c r="F404" s="186" t="s">
        <v>720</v>
      </c>
      <c r="G404" s="342" t="s">
        <v>721</v>
      </c>
      <c r="H404" s="342"/>
      <c r="I404" s="342"/>
      <c r="J404" s="342"/>
      <c r="K404" s="342"/>
      <c r="L404" s="342"/>
      <c r="M404" s="342"/>
      <c r="N404" s="342"/>
      <c r="O404" s="342"/>
      <c r="P404" s="342"/>
      <c r="Q404" s="342"/>
      <c r="R404" s="343"/>
      <c r="S404" s="154" t="s">
        <v>722</v>
      </c>
      <c r="T404" s="71" t="s">
        <v>126</v>
      </c>
      <c r="U404" s="41" t="s">
        <v>127</v>
      </c>
      <c r="V404" s="63"/>
    </row>
    <row r="405" spans="1:23" ht="29">
      <c r="A405" s="61" t="b">
        <v>1</v>
      </c>
      <c r="B405" s="62" t="s">
        <v>713</v>
      </c>
      <c r="C405" s="62"/>
      <c r="D405" s="62" t="b">
        <v>1</v>
      </c>
      <c r="E405" s="62" t="b">
        <v>1</v>
      </c>
      <c r="F405" s="186" t="s">
        <v>723</v>
      </c>
      <c r="G405" s="342" t="s">
        <v>724</v>
      </c>
      <c r="H405" s="342"/>
      <c r="I405" s="342"/>
      <c r="J405" s="342"/>
      <c r="K405" s="342"/>
      <c r="L405" s="342"/>
      <c r="M405" s="342"/>
      <c r="N405" s="342"/>
      <c r="O405" s="342"/>
      <c r="P405" s="342"/>
      <c r="Q405" s="342"/>
      <c r="R405" s="343"/>
      <c r="S405" s="70" t="s">
        <v>725</v>
      </c>
      <c r="T405" s="71" t="s">
        <v>126</v>
      </c>
      <c r="U405" s="41" t="s">
        <v>127</v>
      </c>
      <c r="V405" s="63"/>
    </row>
    <row r="406" spans="1:23" ht="29">
      <c r="A406" s="61" t="b">
        <v>1</v>
      </c>
      <c r="B406" s="62" t="s">
        <v>713</v>
      </c>
      <c r="C406" s="62"/>
      <c r="D406" s="62" t="b">
        <v>1</v>
      </c>
      <c r="E406" s="62" t="b">
        <v>1</v>
      </c>
      <c r="F406" s="186" t="s">
        <v>726</v>
      </c>
      <c r="G406" s="342" t="s">
        <v>727</v>
      </c>
      <c r="H406" s="342"/>
      <c r="I406" s="342"/>
      <c r="J406" s="342"/>
      <c r="K406" s="342"/>
      <c r="L406" s="342"/>
      <c r="M406" s="342"/>
      <c r="N406" s="342"/>
      <c r="O406" s="342"/>
      <c r="P406" s="342"/>
      <c r="Q406" s="342"/>
      <c r="R406" s="343"/>
      <c r="S406" s="70" t="s">
        <v>728</v>
      </c>
      <c r="T406" s="71" t="s">
        <v>126</v>
      </c>
      <c r="U406" s="41" t="s">
        <v>127</v>
      </c>
      <c r="V406" s="63"/>
    </row>
    <row r="407" spans="1:23" ht="29">
      <c r="A407" s="61" t="b">
        <v>1</v>
      </c>
      <c r="B407" s="62" t="s">
        <v>713</v>
      </c>
      <c r="C407" s="62"/>
      <c r="D407" s="62" t="b">
        <v>1</v>
      </c>
      <c r="E407" s="62" t="b">
        <v>1</v>
      </c>
      <c r="F407" s="186" t="s">
        <v>729</v>
      </c>
      <c r="G407" s="342" t="s">
        <v>730</v>
      </c>
      <c r="H407" s="342"/>
      <c r="I407" s="342"/>
      <c r="J407" s="342"/>
      <c r="K407" s="342"/>
      <c r="L407" s="342"/>
      <c r="M407" s="342"/>
      <c r="N407" s="342"/>
      <c r="O407" s="342"/>
      <c r="P407" s="342"/>
      <c r="Q407" s="342"/>
      <c r="R407" s="343"/>
      <c r="S407" s="70" t="s">
        <v>731</v>
      </c>
      <c r="T407" s="71" t="s">
        <v>126</v>
      </c>
      <c r="U407" s="41" t="s">
        <v>127</v>
      </c>
      <c r="V407" s="63"/>
    </row>
    <row r="408" spans="1:23" ht="29">
      <c r="A408" s="61"/>
      <c r="B408" s="62"/>
      <c r="C408" s="62"/>
      <c r="D408" s="62"/>
      <c r="E408" s="62"/>
      <c r="F408" s="186" t="s">
        <v>732</v>
      </c>
      <c r="G408" s="342" t="s">
        <v>733</v>
      </c>
      <c r="H408" s="342"/>
      <c r="I408" s="342"/>
      <c r="J408" s="342"/>
      <c r="K408" s="342"/>
      <c r="L408" s="342"/>
      <c r="M408" s="342"/>
      <c r="N408" s="342"/>
      <c r="O408" s="342"/>
      <c r="P408" s="342"/>
      <c r="Q408" s="342"/>
      <c r="R408" s="343"/>
      <c r="S408" s="70" t="s">
        <v>734</v>
      </c>
      <c r="T408" s="71" t="s">
        <v>126</v>
      </c>
      <c r="U408" s="41" t="s">
        <v>127</v>
      </c>
      <c r="V408" s="63"/>
    </row>
    <row r="409" spans="1:23" ht="29">
      <c r="A409" s="61"/>
      <c r="B409" s="62"/>
      <c r="C409" s="62"/>
      <c r="D409" s="62"/>
      <c r="E409" s="62"/>
      <c r="F409" s="186" t="s">
        <v>735</v>
      </c>
      <c r="G409" s="342" t="s">
        <v>736</v>
      </c>
      <c r="H409" s="342"/>
      <c r="I409" s="342"/>
      <c r="J409" s="342"/>
      <c r="K409" s="342"/>
      <c r="L409" s="342"/>
      <c r="M409" s="342"/>
      <c r="N409" s="342"/>
      <c r="O409" s="342"/>
      <c r="P409" s="342"/>
      <c r="Q409" s="342"/>
      <c r="R409" s="343"/>
      <c r="S409" s="70" t="s">
        <v>737</v>
      </c>
      <c r="T409" s="71" t="s">
        <v>126</v>
      </c>
      <c r="U409" s="41" t="s">
        <v>127</v>
      </c>
      <c r="V409" s="63"/>
    </row>
    <row r="410" spans="1:23" ht="29">
      <c r="A410" s="61"/>
      <c r="B410" s="62"/>
      <c r="C410" s="62"/>
      <c r="D410" s="62"/>
      <c r="E410" s="62"/>
      <c r="F410" s="186" t="s">
        <v>34</v>
      </c>
      <c r="G410" s="446" t="s">
        <v>738</v>
      </c>
      <c r="H410" s="446"/>
      <c r="I410" s="446"/>
      <c r="J410" s="446"/>
      <c r="K410" s="446"/>
      <c r="L410" s="446"/>
      <c r="M410" s="446"/>
      <c r="N410" s="446"/>
      <c r="O410" s="446"/>
      <c r="P410" s="446"/>
      <c r="Q410" s="446"/>
      <c r="R410" s="447"/>
      <c r="S410" s="70" t="s">
        <v>739</v>
      </c>
      <c r="T410" s="71" t="s">
        <v>126</v>
      </c>
      <c r="U410" s="41" t="s">
        <v>127</v>
      </c>
      <c r="V410" s="63"/>
    </row>
    <row r="411" spans="1:23" ht="43.5">
      <c r="A411" s="61"/>
      <c r="B411" s="62"/>
      <c r="C411" s="62"/>
      <c r="D411" s="62"/>
      <c r="E411" s="62"/>
      <c r="F411" s="186" t="s">
        <v>740</v>
      </c>
      <c r="G411" s="342" t="s">
        <v>741</v>
      </c>
      <c r="H411" s="342"/>
      <c r="I411" s="342"/>
      <c r="J411" s="342"/>
      <c r="K411" s="342"/>
      <c r="L411" s="342"/>
      <c r="M411" s="342"/>
      <c r="N411" s="342"/>
      <c r="O411" s="342"/>
      <c r="P411" s="342"/>
      <c r="Q411" s="342"/>
      <c r="R411" s="343"/>
      <c r="S411" s="70" t="s">
        <v>742</v>
      </c>
      <c r="T411" s="71" t="s">
        <v>126</v>
      </c>
      <c r="U411" s="41" t="s">
        <v>127</v>
      </c>
      <c r="V411" s="63"/>
      <c r="W411" s="175" t="s">
        <v>743</v>
      </c>
    </row>
    <row r="412" spans="1:23" ht="29">
      <c r="A412" s="61" t="b">
        <v>1</v>
      </c>
      <c r="B412" s="62" t="s">
        <v>713</v>
      </c>
      <c r="C412" s="62"/>
      <c r="D412" s="62" t="b">
        <v>1</v>
      </c>
      <c r="E412" s="62" t="b">
        <v>1</v>
      </c>
      <c r="F412" s="186" t="s">
        <v>744</v>
      </c>
      <c r="G412" s="342" t="s">
        <v>745</v>
      </c>
      <c r="H412" s="342"/>
      <c r="I412" s="342"/>
      <c r="J412" s="342"/>
      <c r="K412" s="342"/>
      <c r="L412" s="342"/>
      <c r="M412" s="342"/>
      <c r="N412" s="342"/>
      <c r="O412" s="342"/>
      <c r="P412" s="342"/>
      <c r="Q412" s="342"/>
      <c r="R412" s="343"/>
      <c r="S412" s="70" t="s">
        <v>716</v>
      </c>
      <c r="T412" s="71" t="s">
        <v>126</v>
      </c>
      <c r="U412" s="41" t="s">
        <v>127</v>
      </c>
      <c r="V412" s="63"/>
    </row>
    <row r="413" spans="1:23" ht="29">
      <c r="A413" s="61" t="b">
        <v>1</v>
      </c>
      <c r="B413" s="62" t="s">
        <v>713</v>
      </c>
      <c r="C413" s="62"/>
      <c r="D413" s="62" t="b">
        <v>1</v>
      </c>
      <c r="E413" s="62" t="b">
        <v>1</v>
      </c>
      <c r="F413" s="186" t="s">
        <v>746</v>
      </c>
      <c r="G413" s="342" t="s">
        <v>747</v>
      </c>
      <c r="H413" s="342"/>
      <c r="I413" s="342"/>
      <c r="J413" s="342"/>
      <c r="K413" s="342"/>
      <c r="L413" s="342"/>
      <c r="M413" s="342"/>
      <c r="N413" s="342"/>
      <c r="O413" s="342"/>
      <c r="P413" s="342"/>
      <c r="Q413" s="342"/>
      <c r="R413" s="343"/>
      <c r="S413" s="70" t="s">
        <v>719</v>
      </c>
      <c r="T413" s="71" t="s">
        <v>126</v>
      </c>
      <c r="U413" s="41" t="s">
        <v>127</v>
      </c>
      <c r="V413" s="63"/>
    </row>
    <row r="414" spans="1:23" ht="29">
      <c r="A414" s="61" t="b">
        <v>1</v>
      </c>
      <c r="B414" s="62" t="s">
        <v>713</v>
      </c>
      <c r="C414" s="62"/>
      <c r="D414" s="62" t="b">
        <v>1</v>
      </c>
      <c r="E414" s="62" t="b">
        <v>1</v>
      </c>
      <c r="F414" s="186" t="s">
        <v>748</v>
      </c>
      <c r="G414" s="342" t="s">
        <v>749</v>
      </c>
      <c r="H414" s="342"/>
      <c r="I414" s="342"/>
      <c r="J414" s="342"/>
      <c r="K414" s="342"/>
      <c r="L414" s="342"/>
      <c r="M414" s="342"/>
      <c r="N414" s="342"/>
      <c r="O414" s="342"/>
      <c r="P414" s="342"/>
      <c r="Q414" s="342"/>
      <c r="R414" s="343"/>
      <c r="S414" s="154" t="s">
        <v>722</v>
      </c>
      <c r="T414" s="71" t="s">
        <v>126</v>
      </c>
      <c r="U414" s="41" t="s">
        <v>127</v>
      </c>
      <c r="V414" s="63"/>
    </row>
    <row r="415" spans="1:23" ht="29">
      <c r="A415" s="61" t="b">
        <v>1</v>
      </c>
      <c r="B415" s="62" t="s">
        <v>713</v>
      </c>
      <c r="C415" s="62"/>
      <c r="D415" s="62" t="b">
        <v>1</v>
      </c>
      <c r="E415" s="62" t="b">
        <v>1</v>
      </c>
      <c r="F415" s="186" t="s">
        <v>750</v>
      </c>
      <c r="G415" s="342" t="s">
        <v>751</v>
      </c>
      <c r="H415" s="342"/>
      <c r="I415" s="342"/>
      <c r="J415" s="342"/>
      <c r="K415" s="342"/>
      <c r="L415" s="342"/>
      <c r="M415" s="342"/>
      <c r="N415" s="342"/>
      <c r="O415" s="342"/>
      <c r="P415" s="342"/>
      <c r="Q415" s="342"/>
      <c r="R415" s="343"/>
      <c r="S415" s="70" t="s">
        <v>725</v>
      </c>
      <c r="T415" s="71" t="s">
        <v>126</v>
      </c>
      <c r="U415" s="41" t="s">
        <v>127</v>
      </c>
      <c r="V415" s="63"/>
    </row>
    <row r="416" spans="1:23" ht="29">
      <c r="A416" s="61" t="b">
        <v>1</v>
      </c>
      <c r="B416" s="62" t="s">
        <v>713</v>
      </c>
      <c r="C416" s="62"/>
      <c r="D416" s="62" t="b">
        <v>1</v>
      </c>
      <c r="E416" s="62" t="b">
        <v>1</v>
      </c>
      <c r="F416" s="186" t="s">
        <v>752</v>
      </c>
      <c r="G416" s="342" t="s">
        <v>753</v>
      </c>
      <c r="H416" s="342"/>
      <c r="I416" s="342"/>
      <c r="J416" s="342"/>
      <c r="K416" s="342"/>
      <c r="L416" s="342"/>
      <c r="M416" s="342"/>
      <c r="N416" s="342"/>
      <c r="O416" s="342"/>
      <c r="P416" s="342"/>
      <c r="Q416" s="342"/>
      <c r="R416" s="343"/>
      <c r="S416" s="70" t="s">
        <v>728</v>
      </c>
      <c r="T416" s="71" t="s">
        <v>126</v>
      </c>
      <c r="U416" s="41" t="s">
        <v>127</v>
      </c>
      <c r="V416" s="63"/>
    </row>
    <row r="417" spans="1:23" ht="29">
      <c r="A417" s="61" t="b">
        <v>1</v>
      </c>
      <c r="B417" s="62" t="s">
        <v>713</v>
      </c>
      <c r="C417" s="62"/>
      <c r="D417" s="62" t="b">
        <v>1</v>
      </c>
      <c r="E417" s="62" t="b">
        <v>1</v>
      </c>
      <c r="F417" s="186" t="s">
        <v>754</v>
      </c>
      <c r="G417" s="342" t="s">
        <v>755</v>
      </c>
      <c r="H417" s="342"/>
      <c r="I417" s="342"/>
      <c r="J417" s="342"/>
      <c r="K417" s="342"/>
      <c r="L417" s="342"/>
      <c r="M417" s="342"/>
      <c r="N417" s="342"/>
      <c r="O417" s="342"/>
      <c r="P417" s="342"/>
      <c r="Q417" s="342"/>
      <c r="R417" s="343"/>
      <c r="S417" s="70" t="s">
        <v>731</v>
      </c>
      <c r="T417" s="71" t="s">
        <v>126</v>
      </c>
      <c r="U417" s="41" t="s">
        <v>127</v>
      </c>
      <c r="V417" s="63"/>
    </row>
    <row r="418" spans="1:23" ht="29">
      <c r="A418" s="61"/>
      <c r="B418" s="62"/>
      <c r="C418" s="62"/>
      <c r="D418" s="62"/>
      <c r="E418" s="62"/>
      <c r="F418" s="186" t="s">
        <v>756</v>
      </c>
      <c r="G418" s="342" t="s">
        <v>757</v>
      </c>
      <c r="H418" s="342"/>
      <c r="I418" s="342"/>
      <c r="J418" s="342"/>
      <c r="K418" s="342"/>
      <c r="L418" s="342"/>
      <c r="M418" s="342"/>
      <c r="N418" s="342"/>
      <c r="O418" s="342"/>
      <c r="P418" s="342"/>
      <c r="Q418" s="342"/>
      <c r="R418" s="343"/>
      <c r="S418" s="70" t="s">
        <v>734</v>
      </c>
      <c r="T418" s="71" t="s">
        <v>126</v>
      </c>
      <c r="U418" s="41" t="s">
        <v>127</v>
      </c>
      <c r="V418" s="63"/>
    </row>
    <row r="419" spans="1:23" ht="29">
      <c r="A419" s="61"/>
      <c r="B419" s="62"/>
      <c r="C419" s="62"/>
      <c r="D419" s="62"/>
      <c r="E419" s="62"/>
      <c r="F419" s="71" t="s">
        <v>729</v>
      </c>
      <c r="G419" s="314"/>
      <c r="H419" s="315"/>
      <c r="I419" s="315"/>
      <c r="J419" s="315"/>
      <c r="K419" s="315"/>
      <c r="L419" s="315"/>
      <c r="M419" s="315"/>
      <c r="N419" s="315"/>
      <c r="O419" s="315"/>
      <c r="P419" s="315"/>
      <c r="Q419" s="315"/>
      <c r="R419" s="316"/>
      <c r="S419" s="70" t="s">
        <v>737</v>
      </c>
      <c r="T419" s="71" t="s">
        <v>126</v>
      </c>
      <c r="U419" s="41" t="s">
        <v>20</v>
      </c>
      <c r="V419" s="63"/>
    </row>
    <row r="420" spans="1:23" ht="29">
      <c r="A420" s="61"/>
      <c r="B420" s="62"/>
      <c r="C420" s="62"/>
      <c r="D420" s="62"/>
      <c r="E420" s="62"/>
      <c r="F420" s="71" t="s">
        <v>732</v>
      </c>
      <c r="G420" s="314"/>
      <c r="H420" s="315"/>
      <c r="I420" s="315"/>
      <c r="J420" s="315"/>
      <c r="K420" s="315"/>
      <c r="L420" s="315"/>
      <c r="M420" s="315"/>
      <c r="N420" s="315"/>
      <c r="O420" s="315"/>
      <c r="P420" s="315"/>
      <c r="Q420" s="315"/>
      <c r="R420" s="316"/>
      <c r="S420" s="70" t="s">
        <v>739</v>
      </c>
      <c r="T420" s="71" t="s">
        <v>126</v>
      </c>
      <c r="U420" s="41" t="s">
        <v>20</v>
      </c>
      <c r="V420" s="63"/>
    </row>
    <row r="421" spans="1:23" ht="43.5">
      <c r="A421" s="61"/>
      <c r="B421" s="62"/>
      <c r="C421" s="62"/>
      <c r="D421" s="62"/>
      <c r="E421" s="62"/>
      <c r="F421" s="71" t="s">
        <v>735</v>
      </c>
      <c r="G421" s="314"/>
      <c r="H421" s="315"/>
      <c r="I421" s="315"/>
      <c r="J421" s="315"/>
      <c r="K421" s="315"/>
      <c r="L421" s="315"/>
      <c r="M421" s="315"/>
      <c r="N421" s="315"/>
      <c r="O421" s="315"/>
      <c r="P421" s="315"/>
      <c r="Q421" s="315"/>
      <c r="R421" s="316"/>
      <c r="S421" s="70" t="s">
        <v>742</v>
      </c>
      <c r="T421" s="71" t="s">
        <v>126</v>
      </c>
      <c r="U421" s="41" t="s">
        <v>20</v>
      </c>
      <c r="V421" s="63"/>
      <c r="W421" s="175" t="s">
        <v>743</v>
      </c>
    </row>
    <row r="422" spans="1:23" ht="29">
      <c r="A422" s="61"/>
      <c r="B422" s="62"/>
      <c r="C422" s="62"/>
      <c r="D422" s="62"/>
      <c r="E422" s="62"/>
      <c r="F422" s="71" t="s">
        <v>740</v>
      </c>
      <c r="G422" s="314"/>
      <c r="H422" s="315"/>
      <c r="I422" s="315"/>
      <c r="J422" s="315"/>
      <c r="K422" s="315"/>
      <c r="L422" s="315"/>
      <c r="M422" s="315"/>
      <c r="N422" s="315"/>
      <c r="O422" s="315"/>
      <c r="P422" s="315"/>
      <c r="Q422" s="315"/>
      <c r="R422" s="316"/>
      <c r="S422" s="70" t="s">
        <v>758</v>
      </c>
      <c r="T422" s="71" t="s">
        <v>126</v>
      </c>
      <c r="U422" s="41" t="s">
        <v>20</v>
      </c>
      <c r="V422" s="63"/>
    </row>
    <row r="423" spans="1:23" ht="29">
      <c r="A423" s="61"/>
      <c r="B423" s="62"/>
      <c r="C423" s="62"/>
      <c r="D423" s="62"/>
      <c r="E423" s="62"/>
      <c r="F423" s="71" t="s">
        <v>744</v>
      </c>
      <c r="G423" s="314"/>
      <c r="H423" s="315"/>
      <c r="I423" s="315"/>
      <c r="J423" s="315"/>
      <c r="K423" s="315"/>
      <c r="L423" s="315"/>
      <c r="M423" s="315"/>
      <c r="N423" s="315"/>
      <c r="O423" s="315"/>
      <c r="P423" s="315"/>
      <c r="Q423" s="315"/>
      <c r="R423" s="316"/>
      <c r="S423" s="70" t="s">
        <v>759</v>
      </c>
      <c r="T423" s="71" t="s">
        <v>126</v>
      </c>
      <c r="U423" s="41" t="s">
        <v>20</v>
      </c>
      <c r="V423" s="63"/>
    </row>
    <row r="424" spans="1:23">
      <c r="A424" s="65"/>
      <c r="B424" s="65" t="s">
        <v>36</v>
      </c>
      <c r="C424" s="65"/>
      <c r="D424" s="65" t="b">
        <v>0</v>
      </c>
      <c r="E424" s="65" t="b">
        <v>1</v>
      </c>
      <c r="F424" s="65" t="s">
        <v>37</v>
      </c>
      <c r="G424" s="299"/>
      <c r="H424" s="300"/>
      <c r="I424" s="300"/>
      <c r="J424" s="300"/>
      <c r="K424" s="300"/>
      <c r="L424" s="300"/>
      <c r="M424" s="300"/>
      <c r="N424" s="300"/>
      <c r="O424" s="300"/>
      <c r="P424" s="300"/>
      <c r="Q424" s="300"/>
      <c r="R424" s="301"/>
      <c r="S424" s="152" t="s">
        <v>121</v>
      </c>
      <c r="T424" s="65"/>
      <c r="U424" s="66"/>
      <c r="V424" s="66"/>
    </row>
    <row r="425" spans="1:23" ht="35.25" customHeight="1">
      <c r="A425" s="61" t="b">
        <v>0</v>
      </c>
      <c r="B425" s="62" t="s">
        <v>38</v>
      </c>
      <c r="C425" s="62"/>
      <c r="D425" s="62" t="b">
        <v>1</v>
      </c>
      <c r="E425" s="62" t="b">
        <v>1</v>
      </c>
      <c r="F425" s="71"/>
      <c r="G425" s="284" t="s">
        <v>760</v>
      </c>
      <c r="H425" s="285"/>
      <c r="I425" s="285"/>
      <c r="J425" s="285"/>
      <c r="K425" s="285"/>
      <c r="L425" s="285"/>
      <c r="M425" s="285"/>
      <c r="N425" s="285"/>
      <c r="O425" s="285"/>
      <c r="P425" s="285"/>
      <c r="Q425" s="285"/>
      <c r="R425" s="286"/>
      <c r="S425" s="70" t="s">
        <v>545</v>
      </c>
      <c r="T425" s="71" t="s">
        <v>160</v>
      </c>
      <c r="U425" s="41" t="s">
        <v>20</v>
      </c>
      <c r="V425" s="99" t="s">
        <v>161</v>
      </c>
    </row>
    <row r="426" spans="1:23" ht="29">
      <c r="A426" s="61"/>
      <c r="B426" s="62"/>
      <c r="C426" s="62"/>
      <c r="D426" s="62" t="b">
        <v>1</v>
      </c>
      <c r="E426" s="62" t="b">
        <v>1</v>
      </c>
      <c r="F426" s="71"/>
      <c r="G426" s="284" t="s">
        <v>761</v>
      </c>
      <c r="H426" s="285"/>
      <c r="I426" s="285"/>
      <c r="J426" s="285"/>
      <c r="K426" s="285"/>
      <c r="L426" s="285"/>
      <c r="M426" s="285"/>
      <c r="N426" s="285"/>
      <c r="O426" s="285"/>
      <c r="P426" s="285"/>
      <c r="Q426" s="285"/>
      <c r="R426" s="286"/>
      <c r="S426" s="70" t="s">
        <v>762</v>
      </c>
      <c r="T426" s="71" t="s">
        <v>160</v>
      </c>
      <c r="U426" s="41" t="s">
        <v>20</v>
      </c>
      <c r="V426" s="99" t="s">
        <v>161</v>
      </c>
    </row>
    <row r="427" spans="1:23" ht="43.5">
      <c r="A427" s="61"/>
      <c r="B427" s="62"/>
      <c r="C427" s="62"/>
      <c r="D427" s="62" t="b">
        <v>1</v>
      </c>
      <c r="E427" s="62" t="b">
        <v>1</v>
      </c>
      <c r="F427" s="71"/>
      <c r="G427" s="284" t="s">
        <v>763</v>
      </c>
      <c r="H427" s="285"/>
      <c r="I427" s="285"/>
      <c r="J427" s="285"/>
      <c r="K427" s="285"/>
      <c r="L427" s="285"/>
      <c r="M427" s="285"/>
      <c r="N427" s="285"/>
      <c r="O427" s="285"/>
      <c r="P427" s="285"/>
      <c r="Q427" s="285"/>
      <c r="R427" s="286"/>
      <c r="S427" s="70" t="s">
        <v>764</v>
      </c>
      <c r="T427" s="71" t="s">
        <v>160</v>
      </c>
      <c r="U427" s="41" t="s">
        <v>20</v>
      </c>
      <c r="V427" s="99" t="s">
        <v>161</v>
      </c>
    </row>
    <row r="428" spans="1:23" ht="43.5">
      <c r="A428" s="61"/>
      <c r="B428" s="62"/>
      <c r="C428" s="62"/>
      <c r="D428" s="62"/>
      <c r="E428" s="62"/>
      <c r="F428" s="71"/>
      <c r="G428" s="284" t="s">
        <v>765</v>
      </c>
      <c r="H428" s="285"/>
      <c r="I428" s="285"/>
      <c r="J428" s="285"/>
      <c r="K428" s="285"/>
      <c r="L428" s="285"/>
      <c r="M428" s="285"/>
      <c r="N428" s="285"/>
      <c r="O428" s="285"/>
      <c r="P428" s="285"/>
      <c r="Q428" s="285"/>
      <c r="R428" s="286"/>
      <c r="S428" s="70" t="s">
        <v>766</v>
      </c>
      <c r="T428" s="71"/>
      <c r="U428" s="41"/>
      <c r="V428" s="99"/>
    </row>
    <row r="429" spans="1:23" ht="151.5" customHeight="1">
      <c r="A429" s="61"/>
      <c r="B429" s="62"/>
      <c r="C429" s="62"/>
      <c r="D429" s="62"/>
      <c r="E429" s="62"/>
      <c r="F429" s="71"/>
      <c r="G429" s="284" t="s">
        <v>767</v>
      </c>
      <c r="H429" s="285"/>
      <c r="I429" s="285"/>
      <c r="J429" s="285"/>
      <c r="K429" s="285"/>
      <c r="L429" s="285"/>
      <c r="M429" s="285"/>
      <c r="N429" s="285"/>
      <c r="O429" s="285"/>
      <c r="P429" s="285"/>
      <c r="Q429" s="285"/>
      <c r="R429" s="286"/>
      <c r="S429" s="185" t="s">
        <v>768</v>
      </c>
      <c r="T429" s="71"/>
      <c r="U429" s="41"/>
      <c r="V429" s="99"/>
    </row>
    <row r="430" spans="1:23" ht="29">
      <c r="A430" s="61"/>
      <c r="B430" s="62"/>
      <c r="C430" s="62"/>
      <c r="D430" s="62"/>
      <c r="E430" s="62"/>
      <c r="F430" s="71"/>
      <c r="G430" s="284" t="s">
        <v>769</v>
      </c>
      <c r="H430" s="285"/>
      <c r="I430" s="285"/>
      <c r="J430" s="285"/>
      <c r="K430" s="285"/>
      <c r="L430" s="285"/>
      <c r="M430" s="285"/>
      <c r="N430" s="285"/>
      <c r="O430" s="285"/>
      <c r="P430" s="285"/>
      <c r="Q430" s="285"/>
      <c r="R430" s="286"/>
      <c r="S430" s="185" t="s">
        <v>770</v>
      </c>
      <c r="T430" s="71"/>
      <c r="U430" s="41"/>
      <c r="V430" s="99"/>
    </row>
    <row r="431" spans="1:23" ht="35.25" customHeight="1">
      <c r="A431" s="61"/>
      <c r="B431" s="62"/>
      <c r="C431" s="62"/>
      <c r="D431" s="62" t="b">
        <v>1</v>
      </c>
      <c r="E431" s="62" t="b">
        <v>1</v>
      </c>
      <c r="F431" s="71"/>
      <c r="G431" s="284" t="s">
        <v>771</v>
      </c>
      <c r="H431" s="285"/>
      <c r="I431" s="285"/>
      <c r="J431" s="285"/>
      <c r="K431" s="285"/>
      <c r="L431" s="285"/>
      <c r="M431" s="285"/>
      <c r="N431" s="285"/>
      <c r="O431" s="285"/>
      <c r="P431" s="285"/>
      <c r="Q431" s="285"/>
      <c r="R431" s="286"/>
      <c r="S431" s="70" t="s">
        <v>772</v>
      </c>
      <c r="T431" s="71" t="s">
        <v>160</v>
      </c>
      <c r="U431" s="41" t="s">
        <v>20</v>
      </c>
      <c r="V431" s="99" t="s">
        <v>161</v>
      </c>
    </row>
    <row r="432" spans="1:23" ht="123" customHeight="1">
      <c r="A432" s="61"/>
      <c r="B432" s="62"/>
      <c r="C432" s="62"/>
      <c r="D432" s="62" t="b">
        <v>1</v>
      </c>
      <c r="E432" s="62" t="b">
        <v>1</v>
      </c>
      <c r="F432" s="71"/>
      <c r="G432" s="284" t="s">
        <v>773</v>
      </c>
      <c r="H432" s="285"/>
      <c r="I432" s="285"/>
      <c r="J432" s="285"/>
      <c r="K432" s="285"/>
      <c r="L432" s="285"/>
      <c r="M432" s="285"/>
      <c r="N432" s="285"/>
      <c r="O432" s="285"/>
      <c r="P432" s="285"/>
      <c r="Q432" s="285"/>
      <c r="R432" s="286"/>
      <c r="S432" s="70" t="s">
        <v>774</v>
      </c>
      <c r="T432" s="71" t="s">
        <v>160</v>
      </c>
      <c r="U432" s="41" t="s">
        <v>20</v>
      </c>
      <c r="V432" s="99" t="s">
        <v>161</v>
      </c>
    </row>
    <row r="433" spans="1:23" ht="116">
      <c r="A433" s="61"/>
      <c r="B433" s="62"/>
      <c r="C433" s="62"/>
      <c r="D433" s="62" t="b">
        <v>1</v>
      </c>
      <c r="E433" s="62" t="b">
        <v>1</v>
      </c>
      <c r="F433" s="71"/>
      <c r="G433" s="284" t="s">
        <v>775</v>
      </c>
      <c r="H433" s="285"/>
      <c r="I433" s="285"/>
      <c r="J433" s="285"/>
      <c r="K433" s="285"/>
      <c r="L433" s="285"/>
      <c r="M433" s="285"/>
      <c r="N433" s="285"/>
      <c r="O433" s="285"/>
      <c r="P433" s="285"/>
      <c r="Q433" s="285"/>
      <c r="R433" s="286"/>
      <c r="S433" s="70" t="s">
        <v>776</v>
      </c>
      <c r="T433" s="71" t="s">
        <v>160</v>
      </c>
      <c r="U433" s="41" t="s">
        <v>20</v>
      </c>
      <c r="V433" s="99" t="s">
        <v>161</v>
      </c>
    </row>
    <row r="434" spans="1:23" ht="43.5">
      <c r="A434" s="61"/>
      <c r="B434" s="62"/>
      <c r="C434" s="62"/>
      <c r="D434" s="62" t="b">
        <v>1</v>
      </c>
      <c r="E434" s="62" t="b">
        <v>1</v>
      </c>
      <c r="F434" s="71"/>
      <c r="G434" s="284" t="s">
        <v>777</v>
      </c>
      <c r="H434" s="285"/>
      <c r="I434" s="285"/>
      <c r="J434" s="285"/>
      <c r="K434" s="285"/>
      <c r="L434" s="285"/>
      <c r="M434" s="285"/>
      <c r="N434" s="285"/>
      <c r="O434" s="285"/>
      <c r="P434" s="285"/>
      <c r="Q434" s="285"/>
      <c r="R434" s="286"/>
      <c r="S434" s="70" t="s">
        <v>778</v>
      </c>
      <c r="T434" s="71" t="s">
        <v>160</v>
      </c>
      <c r="U434" s="41" t="s">
        <v>20</v>
      </c>
      <c r="V434" s="99" t="s">
        <v>161</v>
      </c>
    </row>
    <row r="435" spans="1:23" ht="35.25" customHeight="1">
      <c r="A435" s="61" t="b">
        <v>0</v>
      </c>
      <c r="B435" s="62" t="s">
        <v>38</v>
      </c>
      <c r="C435" s="62"/>
      <c r="D435" s="62" t="b">
        <v>1</v>
      </c>
      <c r="E435" s="62" t="b">
        <v>1</v>
      </c>
      <c r="F435" s="71"/>
      <c r="G435" s="284" t="s">
        <v>779</v>
      </c>
      <c r="H435" s="285"/>
      <c r="I435" s="285"/>
      <c r="J435" s="285"/>
      <c r="K435" s="285"/>
      <c r="L435" s="285"/>
      <c r="M435" s="285"/>
      <c r="N435" s="285"/>
      <c r="O435" s="285"/>
      <c r="P435" s="285"/>
      <c r="Q435" s="285"/>
      <c r="R435" s="286"/>
      <c r="S435" s="70" t="s">
        <v>780</v>
      </c>
      <c r="T435" s="71" t="s">
        <v>160</v>
      </c>
      <c r="U435" s="41" t="s">
        <v>20</v>
      </c>
      <c r="V435" s="99" t="s">
        <v>161</v>
      </c>
    </row>
    <row r="436" spans="1:23" ht="35.25" customHeight="1">
      <c r="A436" s="61" t="b">
        <v>0</v>
      </c>
      <c r="B436" s="62" t="s">
        <v>38</v>
      </c>
      <c r="C436" s="62"/>
      <c r="D436" s="62" t="b">
        <v>1</v>
      </c>
      <c r="E436" s="62" t="b">
        <v>1</v>
      </c>
      <c r="F436" s="71"/>
      <c r="G436" s="284" t="s">
        <v>781</v>
      </c>
      <c r="H436" s="285"/>
      <c r="I436" s="285"/>
      <c r="J436" s="285"/>
      <c r="K436" s="285"/>
      <c r="L436" s="285"/>
      <c r="M436" s="285"/>
      <c r="N436" s="285"/>
      <c r="O436" s="285"/>
      <c r="P436" s="285"/>
      <c r="Q436" s="285"/>
      <c r="R436" s="286"/>
      <c r="S436" s="70" t="s">
        <v>782</v>
      </c>
      <c r="T436" s="71" t="s">
        <v>160</v>
      </c>
      <c r="U436" s="41" t="s">
        <v>20</v>
      </c>
      <c r="V436" s="99" t="s">
        <v>161</v>
      </c>
    </row>
    <row r="437" spans="1:23" ht="35.25" customHeight="1">
      <c r="A437" s="61" t="b">
        <v>0</v>
      </c>
      <c r="B437" s="62" t="s">
        <v>38</v>
      </c>
      <c r="C437" s="62"/>
      <c r="D437" s="62" t="b">
        <v>1</v>
      </c>
      <c r="E437" s="62" t="b">
        <v>1</v>
      </c>
      <c r="F437" s="71"/>
      <c r="G437" s="284" t="s">
        <v>783</v>
      </c>
      <c r="H437" s="285"/>
      <c r="I437" s="285"/>
      <c r="J437" s="285"/>
      <c r="K437" s="285"/>
      <c r="L437" s="285"/>
      <c r="M437" s="285"/>
      <c r="N437" s="285"/>
      <c r="O437" s="285"/>
      <c r="P437" s="285"/>
      <c r="Q437" s="285"/>
      <c r="R437" s="286"/>
      <c r="S437" s="70" t="s">
        <v>784</v>
      </c>
      <c r="T437" s="71" t="s">
        <v>160</v>
      </c>
      <c r="U437" s="41" t="s">
        <v>20</v>
      </c>
      <c r="V437" s="99" t="s">
        <v>161</v>
      </c>
    </row>
    <row r="438" spans="1:23" ht="35.25" customHeight="1">
      <c r="A438" s="61" t="b">
        <v>0</v>
      </c>
      <c r="B438" s="62" t="s">
        <v>38</v>
      </c>
      <c r="C438" s="62"/>
      <c r="D438" s="62" t="b">
        <v>1</v>
      </c>
      <c r="E438" s="62" t="b">
        <v>1</v>
      </c>
      <c r="F438" s="71"/>
      <c r="G438" s="284" t="s">
        <v>785</v>
      </c>
      <c r="H438" s="285"/>
      <c r="I438" s="285"/>
      <c r="J438" s="285"/>
      <c r="K438" s="285"/>
      <c r="L438" s="285"/>
      <c r="M438" s="285"/>
      <c r="N438" s="285"/>
      <c r="O438" s="285"/>
      <c r="P438" s="285"/>
      <c r="Q438" s="285"/>
      <c r="R438" s="286"/>
      <c r="S438" s="70" t="s">
        <v>786</v>
      </c>
      <c r="T438" s="71" t="s">
        <v>160</v>
      </c>
      <c r="U438" s="41" t="s">
        <v>20</v>
      </c>
      <c r="V438" s="99" t="s">
        <v>161</v>
      </c>
    </row>
    <row r="439" spans="1:23" ht="35.25" customHeight="1">
      <c r="A439" s="61" t="b">
        <v>0</v>
      </c>
      <c r="B439" s="62" t="s">
        <v>38</v>
      </c>
      <c r="C439" s="62"/>
      <c r="D439" s="62" t="b">
        <v>1</v>
      </c>
      <c r="E439" s="62" t="b">
        <v>1</v>
      </c>
      <c r="F439" s="71"/>
      <c r="G439" s="284" t="s">
        <v>787</v>
      </c>
      <c r="H439" s="285"/>
      <c r="I439" s="285"/>
      <c r="J439" s="285"/>
      <c r="K439" s="285"/>
      <c r="L439" s="285"/>
      <c r="M439" s="285"/>
      <c r="N439" s="285"/>
      <c r="O439" s="285"/>
      <c r="P439" s="285"/>
      <c r="Q439" s="285"/>
      <c r="R439" s="286"/>
      <c r="S439" s="70" t="s">
        <v>788</v>
      </c>
      <c r="T439" s="71" t="s">
        <v>160</v>
      </c>
      <c r="U439" s="41" t="s">
        <v>20</v>
      </c>
      <c r="V439" s="99" t="s">
        <v>161</v>
      </c>
    </row>
    <row r="440" spans="1:23" ht="35.25" customHeight="1">
      <c r="A440" s="61" t="b">
        <v>0</v>
      </c>
      <c r="B440" s="62" t="s">
        <v>38</v>
      </c>
      <c r="C440" s="62"/>
      <c r="D440" s="62" t="b">
        <v>1</v>
      </c>
      <c r="E440" s="62" t="b">
        <v>1</v>
      </c>
      <c r="F440" s="71"/>
      <c r="G440" s="284" t="s">
        <v>789</v>
      </c>
      <c r="H440" s="285"/>
      <c r="I440" s="285"/>
      <c r="J440" s="285"/>
      <c r="K440" s="285"/>
      <c r="L440" s="285"/>
      <c r="M440" s="285"/>
      <c r="N440" s="285"/>
      <c r="O440" s="285"/>
      <c r="P440" s="285"/>
      <c r="Q440" s="285"/>
      <c r="R440" s="286"/>
      <c r="S440" s="70" t="s">
        <v>790</v>
      </c>
      <c r="T440" s="71" t="s">
        <v>160</v>
      </c>
      <c r="U440" s="41" t="s">
        <v>20</v>
      </c>
      <c r="V440" s="99" t="s">
        <v>161</v>
      </c>
    </row>
    <row r="441" spans="1:23" ht="35.25" customHeight="1">
      <c r="A441" s="61" t="b">
        <v>0</v>
      </c>
      <c r="B441" s="62" t="s">
        <v>38</v>
      </c>
      <c r="C441" s="62"/>
      <c r="D441" s="62" t="b">
        <v>1</v>
      </c>
      <c r="E441" s="62" t="b">
        <v>1</v>
      </c>
      <c r="F441" s="71"/>
      <c r="G441" s="284" t="s">
        <v>791</v>
      </c>
      <c r="H441" s="285"/>
      <c r="I441" s="285"/>
      <c r="J441" s="285"/>
      <c r="K441" s="285"/>
      <c r="L441" s="285"/>
      <c r="M441" s="285"/>
      <c r="N441" s="285"/>
      <c r="O441" s="285"/>
      <c r="P441" s="285"/>
      <c r="Q441" s="285"/>
      <c r="R441" s="286"/>
      <c r="S441" s="70" t="s">
        <v>792</v>
      </c>
      <c r="T441" s="71" t="s">
        <v>160</v>
      </c>
      <c r="U441" s="41" t="s">
        <v>20</v>
      </c>
      <c r="V441" s="99" t="s">
        <v>161</v>
      </c>
    </row>
    <row r="442" spans="1:23" ht="29">
      <c r="A442" s="61" t="b">
        <v>0</v>
      </c>
      <c r="B442" s="62" t="s">
        <v>38</v>
      </c>
      <c r="C442" s="62"/>
      <c r="D442" s="62" t="b">
        <v>1</v>
      </c>
      <c r="E442" s="62" t="b">
        <v>1</v>
      </c>
      <c r="F442" s="71"/>
      <c r="G442" s="284" t="s">
        <v>793</v>
      </c>
      <c r="H442" s="285"/>
      <c r="I442" s="285"/>
      <c r="J442" s="285"/>
      <c r="K442" s="285"/>
      <c r="L442" s="285"/>
      <c r="M442" s="285"/>
      <c r="N442" s="285"/>
      <c r="O442" s="285"/>
      <c r="P442" s="285"/>
      <c r="Q442" s="285"/>
      <c r="R442" s="286"/>
      <c r="S442" s="70" t="s">
        <v>794</v>
      </c>
      <c r="T442" s="71" t="s">
        <v>160</v>
      </c>
      <c r="U442" s="41" t="s">
        <v>20</v>
      </c>
      <c r="V442" s="99" t="s">
        <v>161</v>
      </c>
      <c r="W442" s="184">
        <v>44621</v>
      </c>
    </row>
    <row r="443" spans="1:23" ht="58">
      <c r="A443" s="61" t="b">
        <v>0</v>
      </c>
      <c r="B443" s="62" t="s">
        <v>38</v>
      </c>
      <c r="C443" s="62"/>
      <c r="D443" s="62" t="b">
        <v>1</v>
      </c>
      <c r="E443" s="62" t="b">
        <v>1</v>
      </c>
      <c r="F443" s="71"/>
      <c r="G443" s="284" t="s">
        <v>795</v>
      </c>
      <c r="H443" s="285"/>
      <c r="I443" s="285"/>
      <c r="J443" s="285"/>
      <c r="K443" s="285"/>
      <c r="L443" s="285"/>
      <c r="M443" s="285"/>
      <c r="N443" s="285"/>
      <c r="O443" s="285"/>
      <c r="P443" s="285"/>
      <c r="Q443" s="285"/>
      <c r="R443" s="286"/>
      <c r="S443" s="70" t="s">
        <v>796</v>
      </c>
      <c r="T443" s="71" t="s">
        <v>160</v>
      </c>
      <c r="U443" s="41" t="s">
        <v>20</v>
      </c>
      <c r="V443" s="99" t="s">
        <v>161</v>
      </c>
    </row>
    <row r="444" spans="1:23" ht="29">
      <c r="A444" s="61" t="b">
        <v>0</v>
      </c>
      <c r="B444" s="62" t="s">
        <v>38</v>
      </c>
      <c r="C444" s="62"/>
      <c r="D444" s="62" t="b">
        <v>1</v>
      </c>
      <c r="E444" s="62" t="b">
        <v>1</v>
      </c>
      <c r="F444" s="71"/>
      <c r="G444" s="284" t="s">
        <v>797</v>
      </c>
      <c r="H444" s="285"/>
      <c r="I444" s="285"/>
      <c r="J444" s="285"/>
      <c r="K444" s="285"/>
      <c r="L444" s="285"/>
      <c r="M444" s="285"/>
      <c r="N444" s="285"/>
      <c r="O444" s="285"/>
      <c r="P444" s="285"/>
      <c r="Q444" s="285"/>
      <c r="R444" s="286"/>
      <c r="S444" s="70" t="s">
        <v>798</v>
      </c>
      <c r="T444" s="71" t="s">
        <v>160</v>
      </c>
      <c r="U444" s="41" t="s">
        <v>20</v>
      </c>
      <c r="V444" s="99" t="s">
        <v>161</v>
      </c>
    </row>
    <row r="445" spans="1:23" ht="35.25" customHeight="1">
      <c r="A445" s="61" t="b">
        <v>0</v>
      </c>
      <c r="B445" s="62" t="s">
        <v>38</v>
      </c>
      <c r="C445" s="62"/>
      <c r="D445" s="62" t="b">
        <v>1</v>
      </c>
      <c r="E445" s="62" t="b">
        <v>1</v>
      </c>
      <c r="F445" s="71"/>
      <c r="G445" s="284"/>
      <c r="H445" s="285"/>
      <c r="I445" s="285"/>
      <c r="J445" s="285"/>
      <c r="K445" s="285"/>
      <c r="L445" s="285"/>
      <c r="M445" s="285"/>
      <c r="N445" s="285"/>
      <c r="O445" s="285"/>
      <c r="P445" s="285"/>
      <c r="Q445" s="285"/>
      <c r="R445" s="286"/>
      <c r="S445" s="70" t="s">
        <v>799</v>
      </c>
      <c r="T445" s="71" t="s">
        <v>160</v>
      </c>
      <c r="U445" s="41" t="s">
        <v>20</v>
      </c>
      <c r="V445" s="99" t="s">
        <v>161</v>
      </c>
    </row>
    <row r="446" spans="1:23" ht="43.5">
      <c r="A446" s="61"/>
      <c r="B446" s="62"/>
      <c r="C446" s="62"/>
      <c r="D446" s="62"/>
      <c r="E446" s="62"/>
      <c r="F446" s="71"/>
      <c r="G446" s="284"/>
      <c r="H446" s="285"/>
      <c r="I446" s="285"/>
      <c r="J446" s="285"/>
      <c r="K446" s="285"/>
      <c r="L446" s="285"/>
      <c r="M446" s="285"/>
      <c r="N446" s="285"/>
      <c r="O446" s="285"/>
      <c r="P446" s="285"/>
      <c r="Q446" s="285"/>
      <c r="R446" s="286"/>
      <c r="S446" s="70" t="s">
        <v>800</v>
      </c>
      <c r="T446" s="71" t="s">
        <v>160</v>
      </c>
      <c r="U446" s="41" t="s">
        <v>20</v>
      </c>
      <c r="V446" s="99" t="s">
        <v>161</v>
      </c>
    </row>
    <row r="447" spans="1:23" ht="35.25" customHeight="1">
      <c r="A447" s="61" t="b">
        <v>0</v>
      </c>
      <c r="B447" s="62" t="s">
        <v>38</v>
      </c>
      <c r="C447" s="62"/>
      <c r="D447" s="62" t="b">
        <v>1</v>
      </c>
      <c r="E447" s="62" t="b">
        <v>1</v>
      </c>
      <c r="F447" s="71"/>
      <c r="G447" s="284"/>
      <c r="H447" s="285"/>
      <c r="I447" s="285"/>
      <c r="J447" s="285"/>
      <c r="K447" s="285"/>
      <c r="L447" s="285"/>
      <c r="M447" s="285"/>
      <c r="N447" s="285"/>
      <c r="O447" s="285"/>
      <c r="P447" s="285"/>
      <c r="Q447" s="285"/>
      <c r="R447" s="286"/>
      <c r="S447" s="70" t="s">
        <v>801</v>
      </c>
      <c r="T447" s="71" t="s">
        <v>160</v>
      </c>
      <c r="U447" s="41" t="s">
        <v>20</v>
      </c>
      <c r="V447" s="99" t="s">
        <v>161</v>
      </c>
    </row>
    <row r="448" spans="1:23" ht="35.25" customHeight="1">
      <c r="A448" s="61"/>
      <c r="B448" s="62"/>
      <c r="C448" s="62"/>
      <c r="D448" s="62"/>
      <c r="E448" s="62"/>
      <c r="F448" s="71"/>
      <c r="G448" s="284"/>
      <c r="H448" s="285"/>
      <c r="I448" s="285"/>
      <c r="J448" s="285"/>
      <c r="K448" s="285"/>
      <c r="L448" s="285"/>
      <c r="M448" s="285"/>
      <c r="N448" s="285"/>
      <c r="O448" s="285"/>
      <c r="P448" s="285"/>
      <c r="Q448" s="285"/>
      <c r="R448" s="286"/>
      <c r="S448" s="70" t="s">
        <v>802</v>
      </c>
      <c r="T448" s="71" t="s">
        <v>160</v>
      </c>
      <c r="U448" s="41" t="s">
        <v>20</v>
      </c>
      <c r="V448" s="99" t="s">
        <v>161</v>
      </c>
    </row>
    <row r="449" spans="1:22" ht="35.25" customHeight="1">
      <c r="A449" s="61"/>
      <c r="B449" s="62"/>
      <c r="C449" s="62"/>
      <c r="D449" s="62"/>
      <c r="E449" s="62"/>
      <c r="F449" s="71"/>
      <c r="G449" s="284"/>
      <c r="H449" s="285"/>
      <c r="I449" s="285"/>
      <c r="J449" s="285"/>
      <c r="K449" s="285"/>
      <c r="L449" s="285"/>
      <c r="M449" s="285"/>
      <c r="N449" s="285"/>
      <c r="O449" s="285"/>
      <c r="P449" s="285"/>
      <c r="Q449" s="285"/>
      <c r="R449" s="286"/>
      <c r="S449" s="70" t="s">
        <v>803</v>
      </c>
      <c r="T449" s="71" t="s">
        <v>160</v>
      </c>
      <c r="U449" s="41" t="s">
        <v>20</v>
      </c>
      <c r="V449" s="99" t="s">
        <v>161</v>
      </c>
    </row>
    <row r="450" spans="1:22" ht="35.25" customHeight="1">
      <c r="A450" s="61"/>
      <c r="B450" s="62"/>
      <c r="C450" s="62"/>
      <c r="D450" s="62"/>
      <c r="E450" s="62"/>
      <c r="F450" s="71"/>
      <c r="G450" s="284"/>
      <c r="H450" s="285"/>
      <c r="I450" s="285"/>
      <c r="J450" s="285"/>
      <c r="K450" s="285"/>
      <c r="L450" s="285"/>
      <c r="M450" s="285"/>
      <c r="N450" s="285"/>
      <c r="O450" s="285"/>
      <c r="P450" s="285"/>
      <c r="Q450" s="285"/>
      <c r="R450" s="286"/>
      <c r="S450" s="70" t="s">
        <v>804</v>
      </c>
      <c r="T450" s="71"/>
      <c r="U450" s="41"/>
      <c r="V450" s="99"/>
    </row>
    <row r="451" spans="1:22" ht="35.25" customHeight="1">
      <c r="A451" s="61"/>
      <c r="B451" s="62"/>
      <c r="C451" s="62"/>
      <c r="D451" s="62"/>
      <c r="E451" s="62"/>
      <c r="F451" s="71"/>
      <c r="G451" s="284"/>
      <c r="H451" s="285"/>
      <c r="I451" s="285"/>
      <c r="J451" s="285"/>
      <c r="K451" s="285"/>
      <c r="L451" s="285"/>
      <c r="M451" s="285"/>
      <c r="N451" s="285"/>
      <c r="O451" s="285"/>
      <c r="P451" s="285"/>
      <c r="Q451" s="285"/>
      <c r="R451" s="286"/>
      <c r="S451" s="70" t="s">
        <v>805</v>
      </c>
      <c r="T451" s="71"/>
      <c r="U451" s="41"/>
      <c r="V451" s="99"/>
    </row>
    <row r="452" spans="1:22" ht="58">
      <c r="A452" s="61"/>
      <c r="B452" s="62"/>
      <c r="C452" s="62"/>
      <c r="D452" s="62"/>
      <c r="E452" s="62"/>
      <c r="F452" s="71"/>
      <c r="G452" s="284"/>
      <c r="H452" s="285"/>
      <c r="I452" s="285"/>
      <c r="J452" s="285"/>
      <c r="K452" s="285"/>
      <c r="L452" s="285"/>
      <c r="M452" s="285"/>
      <c r="N452" s="285"/>
      <c r="O452" s="285"/>
      <c r="P452" s="285"/>
      <c r="Q452" s="285"/>
      <c r="R452" s="286"/>
      <c r="S452" s="70" t="s">
        <v>806</v>
      </c>
      <c r="T452" s="71"/>
      <c r="U452" s="41"/>
      <c r="V452" s="99"/>
    </row>
    <row r="453" spans="1:22" ht="29">
      <c r="A453" s="61"/>
      <c r="B453" s="62"/>
      <c r="C453" s="62"/>
      <c r="D453" s="62"/>
      <c r="E453" s="62"/>
      <c r="F453" s="71"/>
      <c r="G453" s="284"/>
      <c r="H453" s="285"/>
      <c r="I453" s="285"/>
      <c r="J453" s="285"/>
      <c r="K453" s="285"/>
      <c r="L453" s="285"/>
      <c r="M453" s="285"/>
      <c r="N453" s="285"/>
      <c r="O453" s="285"/>
      <c r="P453" s="285"/>
      <c r="Q453" s="285"/>
      <c r="R453" s="286"/>
      <c r="S453" s="70" t="s">
        <v>807</v>
      </c>
      <c r="T453" s="71"/>
      <c r="U453" s="41"/>
      <c r="V453" s="99"/>
    </row>
    <row r="454" spans="1:22" ht="29">
      <c r="A454" s="61"/>
      <c r="B454" s="62"/>
      <c r="C454" s="62"/>
      <c r="D454" s="62"/>
      <c r="E454" s="62"/>
      <c r="F454" s="71"/>
      <c r="G454" s="284"/>
      <c r="H454" s="285"/>
      <c r="I454" s="285"/>
      <c r="J454" s="285"/>
      <c r="K454" s="285"/>
      <c r="L454" s="285"/>
      <c r="M454" s="285"/>
      <c r="N454" s="285"/>
      <c r="O454" s="285"/>
      <c r="P454" s="285"/>
      <c r="Q454" s="285"/>
      <c r="R454" s="286"/>
      <c r="S454" s="70" t="s">
        <v>808</v>
      </c>
      <c r="T454" s="71"/>
      <c r="U454" s="41"/>
      <c r="V454" s="99"/>
    </row>
    <row r="455" spans="1:22" ht="43.5">
      <c r="A455" s="61"/>
      <c r="B455" s="62"/>
      <c r="C455" s="62"/>
      <c r="D455" s="62"/>
      <c r="E455" s="62"/>
      <c r="F455" s="71"/>
      <c r="G455" s="284"/>
      <c r="H455" s="285"/>
      <c r="I455" s="285"/>
      <c r="J455" s="285"/>
      <c r="K455" s="285"/>
      <c r="L455" s="285"/>
      <c r="M455" s="285"/>
      <c r="N455" s="285"/>
      <c r="O455" s="285"/>
      <c r="P455" s="285"/>
      <c r="Q455" s="285"/>
      <c r="R455" s="286"/>
      <c r="S455" s="70" t="s">
        <v>809</v>
      </c>
      <c r="T455" s="71"/>
      <c r="U455" s="41"/>
      <c r="V455" s="99"/>
    </row>
    <row r="456" spans="1:22" ht="58">
      <c r="A456" s="61"/>
      <c r="B456" s="62"/>
      <c r="C456" s="62"/>
      <c r="D456" s="62"/>
      <c r="E456" s="62"/>
      <c r="F456" s="71"/>
      <c r="G456" s="284"/>
      <c r="H456" s="285"/>
      <c r="I456" s="285"/>
      <c r="J456" s="285"/>
      <c r="K456" s="285"/>
      <c r="L456" s="285"/>
      <c r="M456" s="285"/>
      <c r="N456" s="285"/>
      <c r="O456" s="285"/>
      <c r="P456" s="285"/>
      <c r="Q456" s="285"/>
      <c r="R456" s="286"/>
      <c r="S456" s="70" t="s">
        <v>810</v>
      </c>
      <c r="T456" s="71"/>
      <c r="U456" s="41"/>
      <c r="V456" s="99"/>
    </row>
    <row r="457" spans="1:22" ht="43.5">
      <c r="A457" s="61"/>
      <c r="B457" s="62"/>
      <c r="C457" s="62"/>
      <c r="D457" s="62"/>
      <c r="E457" s="62"/>
      <c r="F457" s="71"/>
      <c r="G457" s="284"/>
      <c r="H457" s="285"/>
      <c r="I457" s="285"/>
      <c r="J457" s="285"/>
      <c r="K457" s="285"/>
      <c r="L457" s="285"/>
      <c r="M457" s="285"/>
      <c r="N457" s="285"/>
      <c r="O457" s="285"/>
      <c r="P457" s="285"/>
      <c r="Q457" s="285"/>
      <c r="R457" s="286"/>
      <c r="S457" s="70" t="s">
        <v>811</v>
      </c>
      <c r="T457" s="71"/>
      <c r="U457" s="41"/>
      <c r="V457" s="99"/>
    </row>
    <row r="458" spans="1:22" ht="43.5">
      <c r="A458" s="61"/>
      <c r="B458" s="62"/>
      <c r="C458" s="62"/>
      <c r="D458" s="62"/>
      <c r="E458" s="62"/>
      <c r="F458" s="71"/>
      <c r="G458" s="284"/>
      <c r="H458" s="285"/>
      <c r="I458" s="285"/>
      <c r="J458" s="285"/>
      <c r="K458" s="285"/>
      <c r="L458" s="285"/>
      <c r="M458" s="285"/>
      <c r="N458" s="285"/>
      <c r="O458" s="285"/>
      <c r="P458" s="285"/>
      <c r="Q458" s="285"/>
      <c r="R458" s="286"/>
      <c r="S458" s="70" t="s">
        <v>812</v>
      </c>
      <c r="T458" s="71"/>
      <c r="U458" s="41"/>
      <c r="V458" s="99"/>
    </row>
    <row r="459" spans="1:22" ht="29">
      <c r="A459" s="52" t="s">
        <v>4</v>
      </c>
      <c r="B459" s="52" t="s">
        <v>5</v>
      </c>
      <c r="C459" s="52" t="s">
        <v>6</v>
      </c>
      <c r="D459" s="52" t="s">
        <v>113</v>
      </c>
      <c r="E459" s="52" t="s">
        <v>114</v>
      </c>
      <c r="F459" s="52" t="s">
        <v>9</v>
      </c>
      <c r="G459" s="287" t="s">
        <v>10</v>
      </c>
      <c r="H459" s="288"/>
      <c r="I459" s="288"/>
      <c r="J459" s="288"/>
      <c r="K459" s="288"/>
      <c r="L459" s="288"/>
      <c r="M459" s="288"/>
      <c r="N459" s="288"/>
      <c r="O459" s="288"/>
      <c r="P459" s="288"/>
      <c r="Q459" s="288"/>
      <c r="R459" s="289"/>
      <c r="S459" s="151"/>
      <c r="T459" s="52" t="s">
        <v>12</v>
      </c>
      <c r="U459" s="16" t="s">
        <v>13</v>
      </c>
      <c r="V459" s="16" t="s">
        <v>14</v>
      </c>
    </row>
    <row r="460" spans="1:22">
      <c r="A460" s="55"/>
      <c r="B460" s="56" t="s">
        <v>15</v>
      </c>
      <c r="C460" s="56"/>
      <c r="D460" s="56" t="b">
        <v>0</v>
      </c>
      <c r="E460" s="56" t="b">
        <v>1</v>
      </c>
      <c r="F460" s="56"/>
      <c r="G460" s="290" t="s">
        <v>813</v>
      </c>
      <c r="H460" s="291"/>
      <c r="I460" s="291"/>
      <c r="J460" s="291"/>
      <c r="K460" s="291"/>
      <c r="L460" s="291"/>
      <c r="M460" s="291"/>
      <c r="N460" s="291"/>
      <c r="O460" s="291"/>
      <c r="P460" s="291"/>
      <c r="Q460" s="291"/>
      <c r="R460" s="292"/>
      <c r="S460" s="72"/>
      <c r="T460" s="56"/>
      <c r="U460" s="57"/>
      <c r="V460" s="57"/>
    </row>
    <row r="461" spans="1:22" ht="29">
      <c r="A461" s="58"/>
      <c r="B461" s="59" t="s">
        <v>17</v>
      </c>
      <c r="C461" s="59"/>
      <c r="D461" s="59" t="b">
        <v>0</v>
      </c>
      <c r="E461" s="59" t="b">
        <v>1</v>
      </c>
      <c r="F461" s="59" t="s">
        <v>18</v>
      </c>
      <c r="G461" s="293" t="s">
        <v>814</v>
      </c>
      <c r="H461" s="294"/>
      <c r="I461" s="294"/>
      <c r="J461" s="294"/>
      <c r="K461" s="294"/>
      <c r="L461" s="294"/>
      <c r="M461" s="294"/>
      <c r="N461" s="294"/>
      <c r="O461" s="294"/>
      <c r="P461" s="294"/>
      <c r="Q461" s="294"/>
      <c r="R461" s="295"/>
      <c r="S461" s="73"/>
      <c r="T461" s="135" t="s">
        <v>120</v>
      </c>
      <c r="U461" s="41" t="s">
        <v>127</v>
      </c>
      <c r="V461" s="60"/>
    </row>
    <row r="462" spans="1:22" hidden="1">
      <c r="A462" s="61" t="b">
        <v>1</v>
      </c>
      <c r="B462" s="62" t="s">
        <v>21</v>
      </c>
      <c r="C462" s="62"/>
      <c r="D462" s="62" t="b">
        <v>0</v>
      </c>
      <c r="E462" s="62" t="b">
        <v>1</v>
      </c>
      <c r="F462" s="71" t="s">
        <v>22</v>
      </c>
      <c r="G462" s="54" t="s">
        <v>57</v>
      </c>
      <c r="H462" s="54"/>
      <c r="I462" s="54"/>
      <c r="J462" s="54"/>
      <c r="K462" s="54"/>
      <c r="L462" s="54"/>
      <c r="M462" s="54"/>
      <c r="N462" s="54"/>
      <c r="O462" s="54"/>
      <c r="P462" s="54"/>
      <c r="Q462" s="54"/>
      <c r="R462" s="54"/>
      <c r="S462" s="70"/>
      <c r="T462" s="71"/>
      <c r="U462" s="54"/>
      <c r="V462" s="63"/>
    </row>
    <row r="463" spans="1:22" hidden="1">
      <c r="A463" s="61" t="b">
        <v>0</v>
      </c>
      <c r="B463" s="62" t="s">
        <v>24</v>
      </c>
      <c r="C463" s="62"/>
      <c r="D463" s="62" t="b">
        <v>0</v>
      </c>
      <c r="E463" s="62" t="b">
        <v>1</v>
      </c>
      <c r="F463" s="71" t="s">
        <v>25</v>
      </c>
      <c r="G463" s="54">
        <v>1</v>
      </c>
      <c r="H463" s="54"/>
      <c r="I463" s="54"/>
      <c r="J463" s="54"/>
      <c r="K463" s="54"/>
      <c r="L463" s="54"/>
      <c r="M463" s="54"/>
      <c r="N463" s="54"/>
      <c r="O463" s="54"/>
      <c r="P463" s="54"/>
      <c r="Q463" s="54"/>
      <c r="R463" s="54"/>
      <c r="S463" s="70"/>
      <c r="T463" s="71"/>
      <c r="U463" s="54"/>
      <c r="V463" s="63"/>
    </row>
    <row r="464" spans="1:22" hidden="1">
      <c r="A464" s="61" t="b">
        <v>0</v>
      </c>
      <c r="B464" s="62" t="s">
        <v>26</v>
      </c>
      <c r="C464" s="62"/>
      <c r="D464" s="62" t="b">
        <v>0</v>
      </c>
      <c r="E464" s="62" t="b">
        <v>1</v>
      </c>
      <c r="F464" s="71" t="s">
        <v>27</v>
      </c>
      <c r="G464" s="54"/>
      <c r="H464" s="54"/>
      <c r="I464" s="54"/>
      <c r="J464" s="54"/>
      <c r="K464" s="54"/>
      <c r="L464" s="54"/>
      <c r="M464" s="54"/>
      <c r="N464" s="54"/>
      <c r="O464" s="54"/>
      <c r="P464" s="54"/>
      <c r="Q464" s="54"/>
      <c r="R464" s="54"/>
      <c r="S464" s="70"/>
      <c r="T464" s="71"/>
      <c r="U464" s="54"/>
      <c r="V464" s="63"/>
    </row>
    <row r="465" spans="1:22" hidden="1">
      <c r="A465" s="57" t="b">
        <v>1</v>
      </c>
      <c r="B465" s="57" t="s">
        <v>28</v>
      </c>
      <c r="C465" s="57"/>
      <c r="D465" s="57" t="b">
        <v>0</v>
      </c>
      <c r="E465" s="57" t="b">
        <v>1</v>
      </c>
      <c r="F465" s="56"/>
      <c r="G465" s="57" t="s">
        <v>813</v>
      </c>
      <c r="H465" s="57"/>
      <c r="I465" s="57"/>
      <c r="J465" s="57"/>
      <c r="K465" s="57"/>
      <c r="L465" s="57"/>
      <c r="M465" s="57"/>
      <c r="N465" s="57"/>
      <c r="O465" s="57"/>
      <c r="P465" s="57"/>
      <c r="Q465" s="57"/>
      <c r="R465" s="57"/>
      <c r="S465" s="72"/>
      <c r="T465" s="56"/>
      <c r="U465" s="57"/>
      <c r="V465" s="57"/>
    </row>
    <row r="466" spans="1:22" hidden="1">
      <c r="A466" s="66"/>
      <c r="B466" s="66" t="s">
        <v>31</v>
      </c>
      <c r="C466" s="66"/>
      <c r="D466" s="66" t="b">
        <v>0</v>
      </c>
      <c r="E466" s="66" t="b">
        <v>1</v>
      </c>
      <c r="F466" s="65" t="s">
        <v>32</v>
      </c>
      <c r="G466" s="66"/>
      <c r="H466" s="66"/>
      <c r="I466" s="66"/>
      <c r="J466" s="66"/>
      <c r="K466" s="66"/>
      <c r="L466" s="66"/>
      <c r="M466" s="66"/>
      <c r="N466" s="66"/>
      <c r="O466" s="66"/>
      <c r="P466" s="66"/>
      <c r="Q466" s="66"/>
      <c r="R466" s="66"/>
      <c r="S466" s="152" t="s">
        <v>121</v>
      </c>
      <c r="T466" s="65"/>
      <c r="U466" s="66"/>
      <c r="V466" s="66"/>
    </row>
    <row r="467" spans="1:22">
      <c r="A467" s="61" t="b">
        <v>1</v>
      </c>
      <c r="B467" s="62" t="s">
        <v>815</v>
      </c>
      <c r="C467" s="62"/>
      <c r="D467" s="62" t="b">
        <v>1</v>
      </c>
      <c r="E467" s="62" t="b">
        <v>1</v>
      </c>
      <c r="F467" s="71" t="s">
        <v>816</v>
      </c>
      <c r="G467" s="329" t="s">
        <v>817</v>
      </c>
      <c r="H467" s="330"/>
      <c r="I467" s="330"/>
      <c r="J467" s="330"/>
      <c r="K467" s="330"/>
      <c r="L467" s="330"/>
      <c r="M467" s="330"/>
      <c r="N467" s="330"/>
      <c r="O467" s="330"/>
      <c r="P467" s="330"/>
      <c r="Q467" s="330"/>
      <c r="R467" s="331"/>
      <c r="S467" s="70" t="s">
        <v>818</v>
      </c>
      <c r="T467" s="71" t="s">
        <v>153</v>
      </c>
      <c r="U467" s="41" t="s">
        <v>127</v>
      </c>
      <c r="V467" s="63"/>
    </row>
    <row r="468" spans="1:22">
      <c r="A468" s="61" t="b">
        <v>1</v>
      </c>
      <c r="B468" s="62" t="s">
        <v>815</v>
      </c>
      <c r="C468" s="62"/>
      <c r="D468" s="62" t="b">
        <v>1</v>
      </c>
      <c r="E468" s="62" t="b">
        <v>1</v>
      </c>
      <c r="F468" s="71" t="s">
        <v>819</v>
      </c>
      <c r="G468" s="329" t="s">
        <v>820</v>
      </c>
      <c r="H468" s="330"/>
      <c r="I468" s="330"/>
      <c r="J468" s="330"/>
      <c r="K468" s="330"/>
      <c r="L468" s="330"/>
      <c r="M468" s="330"/>
      <c r="N468" s="330"/>
      <c r="O468" s="330"/>
      <c r="P468" s="330"/>
      <c r="Q468" s="330"/>
      <c r="R468" s="331"/>
      <c r="S468" s="70" t="s">
        <v>821</v>
      </c>
      <c r="T468" s="71" t="s">
        <v>153</v>
      </c>
      <c r="U468" s="41" t="s">
        <v>127</v>
      </c>
      <c r="V468" s="63"/>
    </row>
    <row r="469" spans="1:22">
      <c r="A469" s="61" t="b">
        <v>1</v>
      </c>
      <c r="B469" s="62" t="s">
        <v>815</v>
      </c>
      <c r="C469" s="62"/>
      <c r="D469" s="62" t="b">
        <v>1</v>
      </c>
      <c r="E469" s="62" t="b">
        <v>1</v>
      </c>
      <c r="F469" s="71" t="s">
        <v>822</v>
      </c>
      <c r="G469" s="329"/>
      <c r="H469" s="330"/>
      <c r="I469" s="330"/>
      <c r="J469" s="330"/>
      <c r="K469" s="330"/>
      <c r="L469" s="330"/>
      <c r="M469" s="330"/>
      <c r="N469" s="330"/>
      <c r="O469" s="330"/>
      <c r="P469" s="330"/>
      <c r="Q469" s="330"/>
      <c r="R469" s="331"/>
      <c r="S469" s="70" t="s">
        <v>823</v>
      </c>
      <c r="T469" s="71" t="s">
        <v>153</v>
      </c>
      <c r="U469" s="41" t="s">
        <v>20</v>
      </c>
      <c r="V469" s="63"/>
    </row>
    <row r="470" spans="1:22">
      <c r="A470" s="61"/>
      <c r="B470" s="62" t="s">
        <v>815</v>
      </c>
      <c r="C470" s="62"/>
      <c r="D470" s="62" t="b">
        <v>1</v>
      </c>
      <c r="E470" s="62" t="b">
        <v>1</v>
      </c>
      <c r="F470" s="71" t="s">
        <v>824</v>
      </c>
      <c r="G470" s="329"/>
      <c r="H470" s="330"/>
      <c r="I470" s="330"/>
      <c r="J470" s="330"/>
      <c r="K470" s="330"/>
      <c r="L470" s="330"/>
      <c r="M470" s="330"/>
      <c r="N470" s="330"/>
      <c r="O470" s="330"/>
      <c r="P470" s="330"/>
      <c r="Q470" s="330"/>
      <c r="R470" s="331"/>
      <c r="S470" s="70" t="s">
        <v>825</v>
      </c>
      <c r="T470" s="71"/>
      <c r="U470" s="41"/>
      <c r="V470" s="63"/>
    </row>
    <row r="471" spans="1:22">
      <c r="A471" s="61"/>
      <c r="B471" s="62" t="s">
        <v>815</v>
      </c>
      <c r="C471" s="62"/>
      <c r="D471" s="62" t="b">
        <v>1</v>
      </c>
      <c r="E471" s="62" t="b">
        <v>1</v>
      </c>
      <c r="F471" s="71" t="s">
        <v>826</v>
      </c>
      <c r="G471" s="329"/>
      <c r="H471" s="330"/>
      <c r="I471" s="330"/>
      <c r="J471" s="330"/>
      <c r="K471" s="330"/>
      <c r="L471" s="330"/>
      <c r="M471" s="330"/>
      <c r="N471" s="330"/>
      <c r="O471" s="330"/>
      <c r="P471" s="330"/>
      <c r="Q471" s="330"/>
      <c r="R471" s="331"/>
      <c r="S471" s="70" t="s">
        <v>827</v>
      </c>
      <c r="T471" s="71"/>
      <c r="U471" s="41"/>
      <c r="V471" s="63"/>
    </row>
    <row r="472" spans="1:22">
      <c r="A472" s="61" t="b">
        <v>1</v>
      </c>
      <c r="B472" s="62" t="s">
        <v>35</v>
      </c>
      <c r="C472" s="62"/>
      <c r="D472" s="62" t="b">
        <v>0</v>
      </c>
      <c r="E472" s="62" t="b">
        <v>1</v>
      </c>
      <c r="F472" s="71" t="s">
        <v>34</v>
      </c>
      <c r="G472" s="350" t="s">
        <v>828</v>
      </c>
      <c r="H472" s="351"/>
      <c r="I472" s="351"/>
      <c r="J472" s="351"/>
      <c r="K472" s="351"/>
      <c r="L472" s="351"/>
      <c r="M472" s="351"/>
      <c r="N472" s="351"/>
      <c r="O472" s="351"/>
      <c r="P472" s="351"/>
      <c r="Q472" s="351"/>
      <c r="R472" s="352"/>
      <c r="S472" s="70"/>
      <c r="T472" s="71"/>
      <c r="U472" s="41" t="s">
        <v>127</v>
      </c>
      <c r="V472" s="63"/>
    </row>
    <row r="473" spans="1:22">
      <c r="A473" s="61" t="b">
        <v>1</v>
      </c>
      <c r="B473" s="62" t="s">
        <v>829</v>
      </c>
      <c r="C473" s="62"/>
      <c r="D473" s="62" t="b">
        <v>1</v>
      </c>
      <c r="E473" s="62" t="b">
        <v>1</v>
      </c>
      <c r="F473" s="71" t="s">
        <v>830</v>
      </c>
      <c r="G473" s="329" t="s">
        <v>831</v>
      </c>
      <c r="H473" s="330"/>
      <c r="I473" s="330"/>
      <c r="J473" s="330"/>
      <c r="K473" s="330"/>
      <c r="L473" s="330"/>
      <c r="M473" s="330"/>
      <c r="N473" s="330"/>
      <c r="O473" s="330"/>
      <c r="P473" s="330"/>
      <c r="Q473" s="330"/>
      <c r="R473" s="331"/>
      <c r="S473" s="70" t="s">
        <v>832</v>
      </c>
      <c r="T473" s="71" t="s">
        <v>153</v>
      </c>
      <c r="U473" s="41" t="s">
        <v>127</v>
      </c>
      <c r="V473" s="63"/>
    </row>
    <row r="474" spans="1:22">
      <c r="A474" s="61" t="b">
        <v>1</v>
      </c>
      <c r="B474" s="62" t="s">
        <v>829</v>
      </c>
      <c r="C474" s="62"/>
      <c r="D474" s="62" t="b">
        <v>1</v>
      </c>
      <c r="E474" s="62" t="b">
        <v>1</v>
      </c>
      <c r="F474" s="71" t="s">
        <v>833</v>
      </c>
      <c r="G474" s="329" t="s">
        <v>834</v>
      </c>
      <c r="H474" s="330"/>
      <c r="I474" s="330"/>
      <c r="J474" s="330"/>
      <c r="K474" s="330"/>
      <c r="L474" s="330"/>
      <c r="M474" s="330"/>
      <c r="N474" s="330"/>
      <c r="O474" s="330"/>
      <c r="P474" s="330"/>
      <c r="Q474" s="330"/>
      <c r="R474" s="331"/>
      <c r="S474" s="70" t="s">
        <v>835</v>
      </c>
      <c r="T474" s="71" t="s">
        <v>153</v>
      </c>
      <c r="U474" s="41" t="s">
        <v>20</v>
      </c>
      <c r="V474" s="63"/>
    </row>
    <row r="475" spans="1:22">
      <c r="A475" s="61"/>
      <c r="B475" s="62"/>
      <c r="C475" s="62"/>
      <c r="D475" s="62"/>
      <c r="E475" s="62"/>
      <c r="F475" s="71"/>
      <c r="G475" s="180"/>
      <c r="H475" s="181"/>
      <c r="I475" s="181"/>
      <c r="J475" s="181"/>
      <c r="K475" s="181"/>
      <c r="L475" s="181"/>
      <c r="M475" s="181"/>
      <c r="N475" s="181"/>
      <c r="O475" s="181"/>
      <c r="P475" s="181"/>
      <c r="Q475" s="181"/>
      <c r="R475" s="182"/>
      <c r="S475" s="183" t="s">
        <v>836</v>
      </c>
      <c r="T475" s="71" t="s">
        <v>153</v>
      </c>
      <c r="U475" s="41"/>
      <c r="V475" s="63" t="s">
        <v>837</v>
      </c>
    </row>
    <row r="476" spans="1:22">
      <c r="A476" s="61" t="b">
        <v>1</v>
      </c>
      <c r="B476" s="62" t="s">
        <v>35</v>
      </c>
      <c r="C476" s="62"/>
      <c r="D476" s="62" t="b">
        <v>0</v>
      </c>
      <c r="E476" s="62" t="b">
        <v>1</v>
      </c>
      <c r="F476" s="71" t="s">
        <v>34</v>
      </c>
      <c r="G476" s="350" t="s">
        <v>838</v>
      </c>
      <c r="H476" s="351"/>
      <c r="I476" s="351"/>
      <c r="J476" s="351"/>
      <c r="K476" s="351"/>
      <c r="L476" s="351"/>
      <c r="M476" s="351"/>
      <c r="N476" s="351"/>
      <c r="O476" s="351"/>
      <c r="P476" s="351"/>
      <c r="Q476" s="351"/>
      <c r="R476" s="352"/>
      <c r="S476" s="70"/>
      <c r="T476" s="71"/>
      <c r="U476" s="41"/>
      <c r="V476" s="63"/>
    </row>
    <row r="477" spans="1:22">
      <c r="A477" s="61" t="b">
        <v>1</v>
      </c>
      <c r="B477" s="62" t="s">
        <v>35</v>
      </c>
      <c r="C477" s="62"/>
      <c r="D477" s="62" t="b">
        <v>1</v>
      </c>
      <c r="E477" s="62" t="b">
        <v>1</v>
      </c>
      <c r="F477" s="71" t="s">
        <v>839</v>
      </c>
      <c r="G477" s="329" t="s">
        <v>840</v>
      </c>
      <c r="H477" s="330"/>
      <c r="I477" s="330"/>
      <c r="J477" s="330"/>
      <c r="K477" s="330"/>
      <c r="L477" s="330"/>
      <c r="M477" s="330"/>
      <c r="N477" s="330"/>
      <c r="O477" s="330"/>
      <c r="P477" s="330"/>
      <c r="Q477" s="330"/>
      <c r="R477" s="331"/>
      <c r="S477" s="70" t="s">
        <v>840</v>
      </c>
      <c r="T477" s="71" t="s">
        <v>153</v>
      </c>
      <c r="U477" s="41" t="s">
        <v>127</v>
      </c>
      <c r="V477" s="63"/>
    </row>
    <row r="478" spans="1:22">
      <c r="A478" s="61" t="b">
        <v>1</v>
      </c>
      <c r="B478" s="62" t="s">
        <v>35</v>
      </c>
      <c r="C478" s="62"/>
      <c r="D478" s="62" t="b">
        <v>1</v>
      </c>
      <c r="E478" s="62" t="b">
        <v>1</v>
      </c>
      <c r="F478" s="71" t="s">
        <v>841</v>
      </c>
      <c r="G478" s="329" t="s">
        <v>842</v>
      </c>
      <c r="H478" s="330"/>
      <c r="I478" s="330"/>
      <c r="J478" s="330"/>
      <c r="K478" s="330"/>
      <c r="L478" s="330"/>
      <c r="M478" s="330"/>
      <c r="N478" s="330"/>
      <c r="O478" s="330"/>
      <c r="P478" s="330"/>
      <c r="Q478" s="330"/>
      <c r="R478" s="331"/>
      <c r="S478" s="70" t="s">
        <v>843</v>
      </c>
      <c r="T478" s="71" t="s">
        <v>153</v>
      </c>
      <c r="U478" s="41" t="s">
        <v>127</v>
      </c>
      <c r="V478" s="63"/>
    </row>
    <row r="479" spans="1:22">
      <c r="A479" s="61"/>
      <c r="B479" s="62" t="s">
        <v>35</v>
      </c>
      <c r="C479" s="62"/>
      <c r="D479" s="62" t="b">
        <v>1</v>
      </c>
      <c r="E479" s="62" t="b">
        <v>1</v>
      </c>
      <c r="F479" s="71" t="s">
        <v>844</v>
      </c>
      <c r="G479" s="329"/>
      <c r="H479" s="330"/>
      <c r="I479" s="330"/>
      <c r="J479" s="330"/>
      <c r="K479" s="330"/>
      <c r="L479" s="330"/>
      <c r="M479" s="330"/>
      <c r="N479" s="330"/>
      <c r="O479" s="330"/>
      <c r="P479" s="330"/>
      <c r="Q479" s="330"/>
      <c r="R479" s="331"/>
      <c r="S479" s="70"/>
      <c r="T479" s="71" t="s">
        <v>153</v>
      </c>
      <c r="U479" s="41" t="s">
        <v>127</v>
      </c>
      <c r="V479" s="63"/>
    </row>
    <row r="480" spans="1:22">
      <c r="A480" s="61" t="b">
        <v>1</v>
      </c>
      <c r="B480" s="62" t="s">
        <v>35</v>
      </c>
      <c r="C480" s="62"/>
      <c r="D480" s="62" t="b">
        <v>0</v>
      </c>
      <c r="E480" s="62" t="b">
        <v>1</v>
      </c>
      <c r="F480" s="71" t="s">
        <v>34</v>
      </c>
      <c r="G480" s="350" t="s">
        <v>845</v>
      </c>
      <c r="H480" s="351"/>
      <c r="I480" s="351"/>
      <c r="J480" s="351"/>
      <c r="K480" s="351"/>
      <c r="L480" s="351"/>
      <c r="M480" s="351"/>
      <c r="N480" s="351"/>
      <c r="O480" s="351"/>
      <c r="P480" s="351"/>
      <c r="Q480" s="351"/>
      <c r="R480" s="352"/>
      <c r="S480" s="70"/>
      <c r="T480" s="71"/>
      <c r="U480" s="41"/>
      <c r="V480" s="63"/>
    </row>
    <row r="481" spans="1:22" ht="29">
      <c r="A481" s="61" t="b">
        <v>1</v>
      </c>
      <c r="B481" s="62" t="s">
        <v>846</v>
      </c>
      <c r="C481" s="62"/>
      <c r="D481" s="62" t="b">
        <v>1</v>
      </c>
      <c r="E481" s="62" t="b">
        <v>1</v>
      </c>
      <c r="F481" s="71" t="s">
        <v>847</v>
      </c>
      <c r="G481" s="375" t="s">
        <v>848</v>
      </c>
      <c r="H481" s="376"/>
      <c r="I481" s="376"/>
      <c r="J481" s="376"/>
      <c r="K481" s="376"/>
      <c r="L481" s="376"/>
      <c r="M481" s="376"/>
      <c r="N481" s="376"/>
      <c r="O481" s="376"/>
      <c r="P481" s="376"/>
      <c r="Q481" s="376"/>
      <c r="R481" s="377"/>
      <c r="S481" s="70" t="s">
        <v>849</v>
      </c>
      <c r="T481" s="71" t="s">
        <v>153</v>
      </c>
      <c r="U481" s="41" t="s">
        <v>20</v>
      </c>
      <c r="V481" s="70" t="s">
        <v>850</v>
      </c>
    </row>
    <row r="482" spans="1:22" ht="29">
      <c r="A482" s="61"/>
      <c r="B482" s="62" t="s">
        <v>846</v>
      </c>
      <c r="C482" s="62"/>
      <c r="D482" s="62" t="b">
        <v>1</v>
      </c>
      <c r="E482" s="62" t="b">
        <v>1</v>
      </c>
      <c r="F482" s="71" t="s">
        <v>851</v>
      </c>
      <c r="G482" s="375" t="s">
        <v>848</v>
      </c>
      <c r="H482" s="376"/>
      <c r="I482" s="376"/>
      <c r="J482" s="376"/>
      <c r="K482" s="376"/>
      <c r="L482" s="376"/>
      <c r="M482" s="376"/>
      <c r="N482" s="376"/>
      <c r="O482" s="376"/>
      <c r="P482" s="376"/>
      <c r="Q482" s="376"/>
      <c r="R482" s="377"/>
      <c r="S482" s="70" t="s">
        <v>852</v>
      </c>
      <c r="T482" s="71" t="s">
        <v>153</v>
      </c>
      <c r="U482" s="41" t="s">
        <v>20</v>
      </c>
      <c r="V482" s="70" t="s">
        <v>850</v>
      </c>
    </row>
    <row r="483" spans="1:22">
      <c r="A483" s="61" t="b">
        <v>1</v>
      </c>
      <c r="B483" s="62" t="s">
        <v>35</v>
      </c>
      <c r="C483" s="62"/>
      <c r="D483" s="62" t="b">
        <v>0</v>
      </c>
      <c r="E483" s="62" t="b">
        <v>1</v>
      </c>
      <c r="F483" s="71" t="s">
        <v>34</v>
      </c>
      <c r="G483" s="350" t="s">
        <v>853</v>
      </c>
      <c r="H483" s="351"/>
      <c r="I483" s="351"/>
      <c r="J483" s="351"/>
      <c r="K483" s="351"/>
      <c r="L483" s="351"/>
      <c r="M483" s="351"/>
      <c r="N483" s="351"/>
      <c r="O483" s="351"/>
      <c r="P483" s="351"/>
      <c r="Q483" s="351"/>
      <c r="R483" s="352"/>
      <c r="S483" s="70"/>
      <c r="T483" s="71" t="s">
        <v>153</v>
      </c>
      <c r="U483" s="41" t="s">
        <v>20</v>
      </c>
      <c r="V483" s="63"/>
    </row>
    <row r="484" spans="1:22" ht="29">
      <c r="A484" s="61"/>
      <c r="B484" s="62" t="s">
        <v>35</v>
      </c>
      <c r="C484" s="62"/>
      <c r="D484" s="62" t="b">
        <v>1</v>
      </c>
      <c r="E484" s="62" t="b">
        <v>1</v>
      </c>
      <c r="F484" s="71" t="s">
        <v>854</v>
      </c>
      <c r="G484" s="329"/>
      <c r="H484" s="330"/>
      <c r="I484" s="330"/>
      <c r="J484" s="330"/>
      <c r="K484" s="330"/>
      <c r="L484" s="330"/>
      <c r="M484" s="330"/>
      <c r="N484" s="330"/>
      <c r="O484" s="330"/>
      <c r="P484" s="330"/>
      <c r="Q484" s="330"/>
      <c r="R484" s="331"/>
      <c r="S484" s="70" t="s">
        <v>855</v>
      </c>
      <c r="T484" s="71" t="s">
        <v>153</v>
      </c>
      <c r="U484" s="41" t="s">
        <v>20</v>
      </c>
      <c r="V484" s="63"/>
    </row>
    <row r="485" spans="1:22">
      <c r="A485" s="61"/>
      <c r="B485" s="62"/>
      <c r="C485" s="62"/>
      <c r="D485" s="62"/>
      <c r="E485" s="62"/>
      <c r="F485" s="71"/>
      <c r="G485" s="329"/>
      <c r="H485" s="330"/>
      <c r="I485" s="330"/>
      <c r="J485" s="330"/>
      <c r="K485" s="330"/>
      <c r="L485" s="330"/>
      <c r="M485" s="330"/>
      <c r="N485" s="330"/>
      <c r="O485" s="330"/>
      <c r="P485" s="330"/>
      <c r="Q485" s="330"/>
      <c r="R485" s="331"/>
      <c r="S485" s="70" t="s">
        <v>856</v>
      </c>
      <c r="T485" s="71" t="s">
        <v>153</v>
      </c>
      <c r="U485" s="41" t="s">
        <v>20</v>
      </c>
      <c r="V485" s="63"/>
    </row>
    <row r="486" spans="1:22" ht="29">
      <c r="A486" s="61" t="b">
        <v>1</v>
      </c>
      <c r="B486" s="62" t="s">
        <v>35</v>
      </c>
      <c r="C486" s="62"/>
      <c r="D486" s="62" t="b">
        <v>1</v>
      </c>
      <c r="E486" s="62" t="b">
        <v>1</v>
      </c>
      <c r="F486" s="71" t="s">
        <v>857</v>
      </c>
      <c r="G486" s="329"/>
      <c r="H486" s="330"/>
      <c r="I486" s="330"/>
      <c r="J486" s="330"/>
      <c r="K486" s="330"/>
      <c r="L486" s="330"/>
      <c r="M486" s="330"/>
      <c r="N486" s="330"/>
      <c r="O486" s="330"/>
      <c r="P486" s="330"/>
      <c r="Q486" s="330"/>
      <c r="R486" s="331"/>
      <c r="S486" s="70" t="s">
        <v>858</v>
      </c>
      <c r="T486" s="71" t="s">
        <v>153</v>
      </c>
      <c r="U486" s="41" t="s">
        <v>20</v>
      </c>
      <c r="V486" s="63" t="s">
        <v>859</v>
      </c>
    </row>
    <row r="487" spans="1:22" ht="43.5">
      <c r="A487" s="61"/>
      <c r="B487" s="62"/>
      <c r="C487" s="62"/>
      <c r="D487" s="62"/>
      <c r="E487" s="62"/>
      <c r="F487" s="71"/>
      <c r="G487" s="329"/>
      <c r="H487" s="330"/>
      <c r="I487" s="330"/>
      <c r="J487" s="330"/>
      <c r="K487" s="330"/>
      <c r="L487" s="330"/>
      <c r="M487" s="330"/>
      <c r="N487" s="330"/>
      <c r="O487" s="330"/>
      <c r="P487" s="330"/>
      <c r="Q487" s="330"/>
      <c r="R487" s="331"/>
      <c r="S487" s="70" t="s">
        <v>860</v>
      </c>
      <c r="T487" s="71" t="s">
        <v>153</v>
      </c>
      <c r="U487" s="41" t="s">
        <v>20</v>
      </c>
      <c r="V487" s="63" t="s">
        <v>859</v>
      </c>
    </row>
    <row r="488" spans="1:22">
      <c r="A488" s="65"/>
      <c r="B488" s="65" t="s">
        <v>36</v>
      </c>
      <c r="C488" s="65"/>
      <c r="D488" s="65" t="b">
        <v>0</v>
      </c>
      <c r="E488" s="65" t="b">
        <v>1</v>
      </c>
      <c r="F488" s="65" t="s">
        <v>37</v>
      </c>
      <c r="G488" s="299"/>
      <c r="H488" s="300"/>
      <c r="I488" s="300"/>
      <c r="J488" s="300"/>
      <c r="K488" s="300"/>
      <c r="L488" s="300"/>
      <c r="M488" s="300"/>
      <c r="N488" s="300"/>
      <c r="O488" s="300"/>
      <c r="P488" s="300"/>
      <c r="Q488" s="300"/>
      <c r="R488" s="301"/>
      <c r="S488" s="152" t="s">
        <v>121</v>
      </c>
      <c r="T488" s="65"/>
      <c r="U488" s="65"/>
      <c r="V488" s="65"/>
    </row>
    <row r="489" spans="1:22" ht="29">
      <c r="A489" s="61" t="b">
        <v>0</v>
      </c>
      <c r="B489" s="62" t="s">
        <v>38</v>
      </c>
      <c r="C489" s="62"/>
      <c r="D489" s="62" t="b">
        <v>1</v>
      </c>
      <c r="E489" s="62" t="b">
        <v>1</v>
      </c>
      <c r="F489" s="71"/>
      <c r="G489" s="284" t="s">
        <v>861</v>
      </c>
      <c r="H489" s="285"/>
      <c r="I489" s="285"/>
      <c r="J489" s="285"/>
      <c r="K489" s="285"/>
      <c r="L489" s="285"/>
      <c r="M489" s="285"/>
      <c r="N489" s="285"/>
      <c r="O489" s="285"/>
      <c r="P489" s="285"/>
      <c r="Q489" s="285"/>
      <c r="R489" s="286"/>
      <c r="S489" s="70" t="s">
        <v>862</v>
      </c>
      <c r="T489" s="71" t="s">
        <v>160</v>
      </c>
      <c r="U489" s="41" t="s">
        <v>20</v>
      </c>
      <c r="V489" s="99" t="s">
        <v>161</v>
      </c>
    </row>
    <row r="490" spans="1:22" ht="29">
      <c r="A490" s="61" t="b">
        <v>0</v>
      </c>
      <c r="B490" s="62" t="s">
        <v>38</v>
      </c>
      <c r="C490" s="62"/>
      <c r="D490" s="62" t="b">
        <v>1</v>
      </c>
      <c r="E490" s="62" t="b">
        <v>1</v>
      </c>
      <c r="F490" s="71"/>
      <c r="G490" s="284" t="s">
        <v>863</v>
      </c>
      <c r="H490" s="285"/>
      <c r="I490" s="285"/>
      <c r="J490" s="285"/>
      <c r="K490" s="285"/>
      <c r="L490" s="285"/>
      <c r="M490" s="285"/>
      <c r="N490" s="285"/>
      <c r="O490" s="285"/>
      <c r="P490" s="285"/>
      <c r="Q490" s="285"/>
      <c r="R490" s="286"/>
      <c r="S490" s="70" t="s">
        <v>864</v>
      </c>
      <c r="T490" s="71" t="s">
        <v>160</v>
      </c>
      <c r="U490" s="41" t="s">
        <v>20</v>
      </c>
      <c r="V490" s="99" t="s">
        <v>161</v>
      </c>
    </row>
    <row r="491" spans="1:22" ht="105" customHeight="1">
      <c r="A491" s="61" t="b">
        <v>0</v>
      </c>
      <c r="B491" s="62" t="s">
        <v>38</v>
      </c>
      <c r="C491" s="62"/>
      <c r="D491" s="62" t="b">
        <v>1</v>
      </c>
      <c r="E491" s="62" t="b">
        <v>1</v>
      </c>
      <c r="F491" s="71"/>
      <c r="G491" s="284" t="s">
        <v>865</v>
      </c>
      <c r="H491" s="285"/>
      <c r="I491" s="285"/>
      <c r="J491" s="285"/>
      <c r="K491" s="285"/>
      <c r="L491" s="285"/>
      <c r="M491" s="285"/>
      <c r="N491" s="285"/>
      <c r="O491" s="285"/>
      <c r="P491" s="285"/>
      <c r="Q491" s="285"/>
      <c r="R491" s="286"/>
      <c r="S491" s="70" t="s">
        <v>866</v>
      </c>
      <c r="T491" s="71" t="s">
        <v>160</v>
      </c>
      <c r="U491" s="41" t="s">
        <v>20</v>
      </c>
      <c r="V491" s="99" t="s">
        <v>161</v>
      </c>
    </row>
    <row r="492" spans="1:22" ht="58">
      <c r="A492" s="61"/>
      <c r="B492" s="62"/>
      <c r="C492" s="62"/>
      <c r="D492" s="62"/>
      <c r="E492" s="62"/>
      <c r="F492" s="71"/>
      <c r="G492" s="284"/>
      <c r="H492" s="285"/>
      <c r="I492" s="285"/>
      <c r="J492" s="285"/>
      <c r="K492" s="285"/>
      <c r="L492" s="285"/>
      <c r="M492" s="285"/>
      <c r="N492" s="285"/>
      <c r="O492" s="285"/>
      <c r="P492" s="285"/>
      <c r="Q492" s="285"/>
      <c r="R492" s="286"/>
      <c r="S492" s="70" t="s">
        <v>867</v>
      </c>
      <c r="T492" s="71"/>
      <c r="U492" s="41"/>
      <c r="V492" s="99"/>
    </row>
    <row r="493" spans="1:22" ht="58">
      <c r="A493" s="61"/>
      <c r="B493" s="62"/>
      <c r="C493" s="62"/>
      <c r="D493" s="62"/>
      <c r="E493" s="62"/>
      <c r="F493" s="71"/>
      <c r="G493" s="284"/>
      <c r="H493" s="285"/>
      <c r="I493" s="285"/>
      <c r="J493" s="285"/>
      <c r="K493" s="285"/>
      <c r="L493" s="285"/>
      <c r="M493" s="285"/>
      <c r="N493" s="285"/>
      <c r="O493" s="285"/>
      <c r="P493" s="285"/>
      <c r="Q493" s="285"/>
      <c r="R493" s="286"/>
      <c r="S493" s="70" t="s">
        <v>868</v>
      </c>
      <c r="T493" s="71"/>
      <c r="U493" s="41"/>
      <c r="V493" s="99"/>
    </row>
    <row r="494" spans="1:22" ht="43.5">
      <c r="A494" s="61" t="b">
        <v>0</v>
      </c>
      <c r="B494" s="62" t="s">
        <v>38</v>
      </c>
      <c r="C494" s="62"/>
      <c r="D494" s="62" t="b">
        <v>1</v>
      </c>
      <c r="E494" s="62" t="b">
        <v>1</v>
      </c>
      <c r="F494" s="71"/>
      <c r="G494" s="284"/>
      <c r="H494" s="285"/>
      <c r="I494" s="285"/>
      <c r="J494" s="285"/>
      <c r="K494" s="285"/>
      <c r="L494" s="285"/>
      <c r="M494" s="285"/>
      <c r="N494" s="285"/>
      <c r="O494" s="285"/>
      <c r="P494" s="285"/>
      <c r="Q494" s="285"/>
      <c r="R494" s="286"/>
      <c r="S494" s="70" t="s">
        <v>869</v>
      </c>
      <c r="T494" s="71" t="s">
        <v>160</v>
      </c>
      <c r="U494" s="41" t="s">
        <v>20</v>
      </c>
      <c r="V494" s="99" t="s">
        <v>161</v>
      </c>
    </row>
    <row r="495" spans="1:22" ht="43.5">
      <c r="A495" s="61"/>
      <c r="B495" s="62"/>
      <c r="C495" s="62"/>
      <c r="D495" s="62"/>
      <c r="E495" s="62"/>
      <c r="F495" s="71"/>
      <c r="G495" s="284"/>
      <c r="H495" s="285"/>
      <c r="I495" s="285"/>
      <c r="J495" s="285"/>
      <c r="K495" s="285"/>
      <c r="L495" s="285"/>
      <c r="M495" s="285"/>
      <c r="N495" s="285"/>
      <c r="O495" s="285"/>
      <c r="P495" s="285"/>
      <c r="Q495" s="285"/>
      <c r="R495" s="286"/>
      <c r="S495" s="70" t="s">
        <v>870</v>
      </c>
      <c r="T495" s="71"/>
      <c r="U495" s="41"/>
      <c r="V495" s="99"/>
    </row>
    <row r="496" spans="1:22" ht="43.5">
      <c r="A496" s="61"/>
      <c r="B496" s="62"/>
      <c r="C496" s="62"/>
      <c r="D496" s="62"/>
      <c r="E496" s="62"/>
      <c r="F496" s="71"/>
      <c r="G496" s="284"/>
      <c r="H496" s="285"/>
      <c r="I496" s="285"/>
      <c r="J496" s="285"/>
      <c r="K496" s="285"/>
      <c r="L496" s="285"/>
      <c r="M496" s="285"/>
      <c r="N496" s="285"/>
      <c r="O496" s="285"/>
      <c r="P496" s="285"/>
      <c r="Q496" s="285"/>
      <c r="R496" s="286"/>
      <c r="S496" s="70" t="s">
        <v>871</v>
      </c>
      <c r="T496" s="71"/>
      <c r="U496" s="41"/>
      <c r="V496" s="99"/>
    </row>
    <row r="497" spans="1:22" ht="29">
      <c r="A497" s="52" t="s">
        <v>4</v>
      </c>
      <c r="B497" s="52" t="s">
        <v>5</v>
      </c>
      <c r="C497" s="52" t="s">
        <v>6</v>
      </c>
      <c r="D497" s="52" t="s">
        <v>113</v>
      </c>
      <c r="E497" s="52" t="s">
        <v>114</v>
      </c>
      <c r="F497" s="52" t="s">
        <v>9</v>
      </c>
      <c r="G497" s="287" t="s">
        <v>10</v>
      </c>
      <c r="H497" s="288"/>
      <c r="I497" s="288"/>
      <c r="J497" s="288"/>
      <c r="K497" s="288"/>
      <c r="L497" s="288"/>
      <c r="M497" s="288"/>
      <c r="N497" s="288"/>
      <c r="O497" s="288"/>
      <c r="P497" s="288"/>
      <c r="Q497" s="288"/>
      <c r="R497" s="289"/>
      <c r="S497" s="151"/>
      <c r="T497" s="52" t="s">
        <v>11</v>
      </c>
      <c r="U497" s="16" t="s">
        <v>13</v>
      </c>
      <c r="V497" s="16" t="s">
        <v>14</v>
      </c>
    </row>
    <row r="498" spans="1:22">
      <c r="A498" s="55"/>
      <c r="B498" s="56" t="s">
        <v>15</v>
      </c>
      <c r="C498" s="56"/>
      <c r="D498" s="56" t="b">
        <v>0</v>
      </c>
      <c r="E498" s="56" t="b">
        <v>1</v>
      </c>
      <c r="F498" s="56"/>
      <c r="G498" s="290" t="s">
        <v>872</v>
      </c>
      <c r="H498" s="291"/>
      <c r="I498" s="291"/>
      <c r="J498" s="291"/>
      <c r="K498" s="291"/>
      <c r="L498" s="291"/>
      <c r="M498" s="291"/>
      <c r="N498" s="291"/>
      <c r="O498" s="291"/>
      <c r="P498" s="291"/>
      <c r="Q498" s="291"/>
      <c r="R498" s="292"/>
      <c r="S498" s="72"/>
      <c r="T498" s="56"/>
      <c r="U498" s="57"/>
      <c r="V498" s="57"/>
    </row>
    <row r="499" spans="1:22" ht="29">
      <c r="A499" s="58"/>
      <c r="B499" s="59" t="s">
        <v>17</v>
      </c>
      <c r="C499" s="59"/>
      <c r="D499" s="59" t="b">
        <v>0</v>
      </c>
      <c r="E499" s="59" t="b">
        <v>1</v>
      </c>
      <c r="F499" s="59" t="s">
        <v>18</v>
      </c>
      <c r="G499" s="293" t="s">
        <v>873</v>
      </c>
      <c r="H499" s="294"/>
      <c r="I499" s="294"/>
      <c r="J499" s="294"/>
      <c r="K499" s="294"/>
      <c r="L499" s="294"/>
      <c r="M499" s="294"/>
      <c r="N499" s="294"/>
      <c r="O499" s="294"/>
      <c r="P499" s="294"/>
      <c r="Q499" s="294"/>
      <c r="R499" s="295"/>
      <c r="S499" s="73"/>
      <c r="T499" s="135" t="s">
        <v>120</v>
      </c>
      <c r="U499" s="41" t="s">
        <v>127</v>
      </c>
      <c r="V499" s="60"/>
    </row>
    <row r="500" spans="1:22" hidden="1">
      <c r="A500" s="61" t="b">
        <v>1</v>
      </c>
      <c r="B500" s="62" t="s">
        <v>21</v>
      </c>
      <c r="C500" s="62"/>
      <c r="D500" s="62" t="b">
        <v>0</v>
      </c>
      <c r="E500" s="62" t="b">
        <v>1</v>
      </c>
      <c r="F500" s="71" t="s">
        <v>22</v>
      </c>
      <c r="G500" s="54" t="s">
        <v>57</v>
      </c>
      <c r="H500" s="54"/>
      <c r="I500" s="54"/>
      <c r="J500" s="54"/>
      <c r="K500" s="54"/>
      <c r="L500" s="54"/>
      <c r="M500" s="54"/>
      <c r="N500" s="54"/>
      <c r="O500" s="54"/>
      <c r="P500" s="54"/>
      <c r="Q500" s="54"/>
      <c r="R500" s="54"/>
      <c r="S500" s="70"/>
      <c r="T500" s="71"/>
      <c r="U500" s="54"/>
      <c r="V500" s="63"/>
    </row>
    <row r="501" spans="1:22" hidden="1">
      <c r="A501" s="61" t="b">
        <v>0</v>
      </c>
      <c r="B501" s="62" t="s">
        <v>24</v>
      </c>
      <c r="C501" s="62"/>
      <c r="D501" s="62" t="b">
        <v>0</v>
      </c>
      <c r="E501" s="62" t="b">
        <v>1</v>
      </c>
      <c r="F501" s="71" t="s">
        <v>25</v>
      </c>
      <c r="G501" s="54">
        <v>1</v>
      </c>
      <c r="H501" s="54"/>
      <c r="I501" s="54"/>
      <c r="J501" s="54"/>
      <c r="K501" s="54"/>
      <c r="L501" s="54"/>
      <c r="M501" s="54"/>
      <c r="N501" s="54"/>
      <c r="O501" s="54"/>
      <c r="P501" s="54"/>
      <c r="Q501" s="54"/>
      <c r="R501" s="54"/>
      <c r="S501" s="70"/>
      <c r="T501" s="71"/>
      <c r="U501" s="54"/>
      <c r="V501" s="63"/>
    </row>
    <row r="502" spans="1:22" hidden="1">
      <c r="A502" s="61" t="b">
        <v>0</v>
      </c>
      <c r="B502" s="62" t="s">
        <v>26</v>
      </c>
      <c r="C502" s="62"/>
      <c r="D502" s="62" t="b">
        <v>0</v>
      </c>
      <c r="E502" s="62" t="b">
        <v>1</v>
      </c>
      <c r="F502" s="71" t="s">
        <v>27</v>
      </c>
      <c r="G502" s="54"/>
      <c r="H502" s="54"/>
      <c r="I502" s="54"/>
      <c r="J502" s="54"/>
      <c r="K502" s="54"/>
      <c r="L502" s="54"/>
      <c r="M502" s="54"/>
      <c r="N502" s="54"/>
      <c r="O502" s="54"/>
      <c r="P502" s="54"/>
      <c r="Q502" s="54"/>
      <c r="R502" s="54"/>
      <c r="S502" s="70"/>
      <c r="T502" s="71"/>
      <c r="U502" s="54"/>
      <c r="V502" s="63"/>
    </row>
    <row r="503" spans="1:22" hidden="1">
      <c r="A503" s="57" t="b">
        <v>1</v>
      </c>
      <c r="B503" s="57" t="s">
        <v>28</v>
      </c>
      <c r="C503" s="57"/>
      <c r="D503" s="57" t="b">
        <v>0</v>
      </c>
      <c r="E503" s="57" t="b">
        <v>1</v>
      </c>
      <c r="F503" s="56"/>
      <c r="G503" s="57" t="s">
        <v>874</v>
      </c>
      <c r="H503" s="57"/>
      <c r="I503" s="57"/>
      <c r="J503" s="57"/>
      <c r="K503" s="57"/>
      <c r="L503" s="57"/>
      <c r="M503" s="57"/>
      <c r="N503" s="57"/>
      <c r="O503" s="57"/>
      <c r="P503" s="57"/>
      <c r="Q503" s="57"/>
      <c r="R503" s="57"/>
      <c r="S503" s="72"/>
      <c r="T503" s="56"/>
      <c r="U503" s="57"/>
      <c r="V503" s="57"/>
    </row>
    <row r="504" spans="1:22" hidden="1">
      <c r="A504" s="65"/>
      <c r="B504" s="65" t="s">
        <v>31</v>
      </c>
      <c r="C504" s="65"/>
      <c r="D504" s="65" t="b">
        <v>0</v>
      </c>
      <c r="E504" s="65" t="b">
        <v>1</v>
      </c>
      <c r="F504" s="65" t="s">
        <v>32</v>
      </c>
      <c r="G504" s="65"/>
      <c r="H504" s="65"/>
      <c r="I504" s="65"/>
      <c r="J504" s="65"/>
      <c r="K504" s="65"/>
      <c r="L504" s="65"/>
      <c r="M504" s="65"/>
      <c r="N504" s="65"/>
      <c r="O504" s="65"/>
      <c r="P504" s="65"/>
      <c r="Q504" s="65"/>
      <c r="R504" s="65"/>
      <c r="S504" s="152" t="s">
        <v>121</v>
      </c>
      <c r="T504" s="65"/>
      <c r="U504" s="65"/>
      <c r="V504" s="65"/>
    </row>
    <row r="505" spans="1:22">
      <c r="A505" s="61" t="b">
        <v>1</v>
      </c>
      <c r="B505" s="62" t="s">
        <v>35</v>
      </c>
      <c r="C505" s="62"/>
      <c r="D505" s="62" t="b">
        <v>0</v>
      </c>
      <c r="E505" s="62" t="b">
        <v>1</v>
      </c>
      <c r="F505" s="71" t="s">
        <v>34</v>
      </c>
      <c r="G505" s="305" t="s">
        <v>875</v>
      </c>
      <c r="H505" s="306"/>
      <c r="I505" s="306"/>
      <c r="J505" s="306"/>
      <c r="K505" s="306"/>
      <c r="L505" s="306"/>
      <c r="M505" s="306"/>
      <c r="N505" s="306"/>
      <c r="O505" s="306"/>
      <c r="P505" s="306"/>
      <c r="Q505" s="306"/>
      <c r="R505" s="307"/>
      <c r="S505" s="70"/>
      <c r="T505" s="71"/>
      <c r="U505" s="41" t="s">
        <v>127</v>
      </c>
      <c r="V505" s="63"/>
    </row>
    <row r="506" spans="1:22" ht="29">
      <c r="A506" s="61" t="b">
        <v>1</v>
      </c>
      <c r="B506" s="62" t="s">
        <v>876</v>
      </c>
      <c r="C506" s="62"/>
      <c r="D506" s="62" t="b">
        <v>1</v>
      </c>
      <c r="E506" s="62" t="b">
        <v>1</v>
      </c>
      <c r="F506" s="71" t="s">
        <v>877</v>
      </c>
      <c r="G506" s="302" t="s">
        <v>878</v>
      </c>
      <c r="H506" s="303"/>
      <c r="I506" s="303"/>
      <c r="J506" s="303"/>
      <c r="K506" s="303"/>
      <c r="L506" s="303"/>
      <c r="M506" s="303"/>
      <c r="N506" s="303"/>
      <c r="O506" s="303"/>
      <c r="P506" s="303"/>
      <c r="Q506" s="303"/>
      <c r="R506" s="304"/>
      <c r="S506" s="70" t="s">
        <v>879</v>
      </c>
      <c r="T506" s="71" t="s">
        <v>153</v>
      </c>
      <c r="U506" s="41" t="s">
        <v>127</v>
      </c>
      <c r="V506" s="63"/>
    </row>
    <row r="507" spans="1:22" ht="29">
      <c r="A507" s="61" t="b">
        <v>1</v>
      </c>
      <c r="B507" s="62" t="s">
        <v>880</v>
      </c>
      <c r="C507" s="62"/>
      <c r="D507" s="62" t="b">
        <v>1</v>
      </c>
      <c r="E507" s="62" t="b">
        <v>1</v>
      </c>
      <c r="F507" s="71" t="s">
        <v>881</v>
      </c>
      <c r="G507" s="302" t="s">
        <v>882</v>
      </c>
      <c r="H507" s="303"/>
      <c r="I507" s="303"/>
      <c r="J507" s="303"/>
      <c r="K507" s="303"/>
      <c r="L507" s="303"/>
      <c r="M507" s="303"/>
      <c r="N507" s="303"/>
      <c r="O507" s="303"/>
      <c r="P507" s="303"/>
      <c r="Q507" s="303"/>
      <c r="R507" s="304"/>
      <c r="S507" s="70" t="s">
        <v>883</v>
      </c>
      <c r="T507" s="71" t="s">
        <v>153</v>
      </c>
      <c r="U507" s="41" t="s">
        <v>127</v>
      </c>
      <c r="V507" s="63"/>
    </row>
    <row r="508" spans="1:22">
      <c r="A508" s="61"/>
      <c r="B508" s="62"/>
      <c r="C508" s="62"/>
      <c r="D508" s="62" t="b">
        <v>0</v>
      </c>
      <c r="E508" s="62" t="b">
        <v>1</v>
      </c>
      <c r="F508" s="71" t="s">
        <v>34</v>
      </c>
      <c r="G508" s="305" t="s">
        <v>884</v>
      </c>
      <c r="H508" s="306"/>
      <c r="I508" s="306"/>
      <c r="J508" s="306"/>
      <c r="K508" s="306"/>
      <c r="L508" s="306"/>
      <c r="M508" s="306"/>
      <c r="N508" s="306"/>
      <c r="O508" s="306"/>
      <c r="P508" s="306"/>
      <c r="Q508" s="306"/>
      <c r="R508" s="307"/>
      <c r="S508" s="70"/>
      <c r="T508" s="71"/>
      <c r="U508" s="41"/>
      <c r="V508" s="63"/>
    </row>
    <row r="509" spans="1:22" ht="43.5">
      <c r="A509" s="61"/>
      <c r="B509" s="62"/>
      <c r="C509" s="62"/>
      <c r="D509" s="62" t="b">
        <v>1</v>
      </c>
      <c r="E509" s="62" t="b">
        <v>1</v>
      </c>
      <c r="F509" s="71" t="s">
        <v>885</v>
      </c>
      <c r="G509" s="302"/>
      <c r="H509" s="303"/>
      <c r="I509" s="303"/>
      <c r="J509" s="303"/>
      <c r="K509" s="303"/>
      <c r="L509" s="303"/>
      <c r="M509" s="303"/>
      <c r="N509" s="303"/>
      <c r="O509" s="303"/>
      <c r="P509" s="303"/>
      <c r="Q509" s="303"/>
      <c r="R509" s="304"/>
      <c r="S509" s="70"/>
      <c r="T509" s="71"/>
      <c r="U509" s="41"/>
      <c r="V509" s="63"/>
    </row>
    <row r="510" spans="1:22" ht="43.5">
      <c r="A510" s="61"/>
      <c r="B510" s="62"/>
      <c r="C510" s="62"/>
      <c r="D510" s="62" t="b">
        <v>1</v>
      </c>
      <c r="E510" s="62" t="b">
        <v>1</v>
      </c>
      <c r="F510" s="71" t="s">
        <v>886</v>
      </c>
      <c r="G510" s="302"/>
      <c r="H510" s="303"/>
      <c r="I510" s="303"/>
      <c r="J510" s="303"/>
      <c r="K510" s="303"/>
      <c r="L510" s="303"/>
      <c r="M510" s="303"/>
      <c r="N510" s="303"/>
      <c r="O510" s="303"/>
      <c r="P510" s="303"/>
      <c r="Q510" s="303"/>
      <c r="R510" s="304"/>
      <c r="S510" s="70"/>
      <c r="T510" s="71"/>
      <c r="U510" s="41"/>
      <c r="V510" s="63"/>
    </row>
    <row r="511" spans="1:22" ht="41.25" customHeight="1">
      <c r="A511" s="61" t="b">
        <v>1</v>
      </c>
      <c r="B511" s="62" t="s">
        <v>35</v>
      </c>
      <c r="C511" s="62"/>
      <c r="D511" s="62" t="b">
        <v>0</v>
      </c>
      <c r="E511" s="62" t="b">
        <v>1</v>
      </c>
      <c r="F511" s="71" t="s">
        <v>34</v>
      </c>
      <c r="G511" s="311" t="s">
        <v>887</v>
      </c>
      <c r="H511" s="312"/>
      <c r="I511" s="312"/>
      <c r="J511" s="312"/>
      <c r="K511" s="312"/>
      <c r="L511" s="312"/>
      <c r="M511" s="312"/>
      <c r="N511" s="312"/>
      <c r="O511" s="312"/>
      <c r="P511" s="312"/>
      <c r="Q511" s="312"/>
      <c r="R511" s="313"/>
      <c r="S511" s="70"/>
      <c r="T511" s="71"/>
      <c r="U511" s="41"/>
      <c r="V511" s="63"/>
    </row>
    <row r="512" spans="1:22" ht="29">
      <c r="A512" s="61" t="b">
        <v>1</v>
      </c>
      <c r="B512" s="62" t="s">
        <v>888</v>
      </c>
      <c r="C512" s="62"/>
      <c r="D512" s="62" t="b">
        <v>1</v>
      </c>
      <c r="E512" s="62" t="b">
        <v>1</v>
      </c>
      <c r="F512" s="71" t="s">
        <v>889</v>
      </c>
      <c r="G512" s="302" t="s">
        <v>890</v>
      </c>
      <c r="H512" s="303"/>
      <c r="I512" s="303"/>
      <c r="J512" s="303"/>
      <c r="K512" s="303"/>
      <c r="L512" s="303"/>
      <c r="M512" s="303"/>
      <c r="N512" s="303"/>
      <c r="O512" s="303"/>
      <c r="P512" s="303"/>
      <c r="Q512" s="303"/>
      <c r="R512" s="304"/>
      <c r="S512" s="70" t="s">
        <v>891</v>
      </c>
      <c r="T512" s="71" t="s">
        <v>153</v>
      </c>
      <c r="U512" s="41" t="s">
        <v>127</v>
      </c>
      <c r="V512" s="63"/>
    </row>
    <row r="513" spans="1:22" ht="29">
      <c r="A513" s="61" t="b">
        <v>1</v>
      </c>
      <c r="B513" s="62" t="s">
        <v>892</v>
      </c>
      <c r="C513" s="62"/>
      <c r="D513" s="62" t="b">
        <v>1</v>
      </c>
      <c r="E513" s="62" t="b">
        <v>1</v>
      </c>
      <c r="F513" s="71" t="s">
        <v>893</v>
      </c>
      <c r="G513" s="302" t="s">
        <v>894</v>
      </c>
      <c r="H513" s="303"/>
      <c r="I513" s="303"/>
      <c r="J513" s="303"/>
      <c r="K513" s="303"/>
      <c r="L513" s="303"/>
      <c r="M513" s="303"/>
      <c r="N513" s="303"/>
      <c r="O513" s="303"/>
      <c r="P513" s="303"/>
      <c r="Q513" s="303"/>
      <c r="R513" s="304"/>
      <c r="S513" s="70" t="s">
        <v>895</v>
      </c>
      <c r="T513" s="71" t="s">
        <v>153</v>
      </c>
      <c r="U513" s="41" t="s">
        <v>127</v>
      </c>
      <c r="V513" s="63"/>
    </row>
    <row r="514" spans="1:22">
      <c r="A514" s="61" t="b">
        <v>1</v>
      </c>
      <c r="B514" s="62" t="s">
        <v>35</v>
      </c>
      <c r="C514" s="62"/>
      <c r="D514" s="62" t="b">
        <v>0</v>
      </c>
      <c r="E514" s="62" t="b">
        <v>1</v>
      </c>
      <c r="F514" s="71" t="s">
        <v>34</v>
      </c>
      <c r="G514" s="311" t="s">
        <v>896</v>
      </c>
      <c r="H514" s="312"/>
      <c r="I514" s="312"/>
      <c r="J514" s="312"/>
      <c r="K514" s="312"/>
      <c r="L514" s="312"/>
      <c r="M514" s="312"/>
      <c r="N514" s="312"/>
      <c r="O514" s="312"/>
      <c r="P514" s="312"/>
      <c r="Q514" s="312"/>
      <c r="R514" s="313"/>
      <c r="S514" s="70"/>
      <c r="T514" s="71" t="s">
        <v>153</v>
      </c>
      <c r="U514" s="41" t="s">
        <v>20</v>
      </c>
      <c r="V514" s="63"/>
    </row>
    <row r="515" spans="1:22" ht="43.5">
      <c r="A515" s="61" t="b">
        <v>1</v>
      </c>
      <c r="B515" s="62" t="s">
        <v>35</v>
      </c>
      <c r="C515" s="62"/>
      <c r="D515" s="62" t="b">
        <v>1</v>
      </c>
      <c r="E515" s="62" t="b">
        <v>1</v>
      </c>
      <c r="F515" s="71" t="s">
        <v>897</v>
      </c>
      <c r="G515" s="302"/>
      <c r="H515" s="303"/>
      <c r="I515" s="303"/>
      <c r="J515" s="303"/>
      <c r="K515" s="303"/>
      <c r="L515" s="303"/>
      <c r="M515" s="303"/>
      <c r="N515" s="303"/>
      <c r="O515" s="303"/>
      <c r="P515" s="303"/>
      <c r="Q515" s="303"/>
      <c r="R515" s="304"/>
      <c r="S515" s="70"/>
      <c r="T515" s="71" t="s">
        <v>153</v>
      </c>
      <c r="U515" s="41" t="s">
        <v>20</v>
      </c>
      <c r="V515" s="63"/>
    </row>
    <row r="516" spans="1:22" ht="43.5">
      <c r="A516" s="61"/>
      <c r="B516" s="62"/>
      <c r="C516" s="62"/>
      <c r="D516" s="62" t="b">
        <v>1</v>
      </c>
      <c r="E516" s="62" t="b">
        <v>1</v>
      </c>
      <c r="F516" s="71" t="s">
        <v>898</v>
      </c>
      <c r="G516" s="302"/>
      <c r="H516" s="303"/>
      <c r="I516" s="303"/>
      <c r="J516" s="303"/>
      <c r="K516" s="303"/>
      <c r="L516" s="303"/>
      <c r="M516" s="303"/>
      <c r="N516" s="303"/>
      <c r="O516" s="303"/>
      <c r="P516" s="303"/>
      <c r="Q516" s="303"/>
      <c r="R516" s="304"/>
      <c r="S516" s="70"/>
      <c r="T516" s="71"/>
      <c r="U516" s="41"/>
      <c r="V516" s="63"/>
    </row>
    <row r="517" spans="1:22" ht="18.75" customHeight="1">
      <c r="A517" s="65"/>
      <c r="B517" s="65" t="s">
        <v>36</v>
      </c>
      <c r="C517" s="65"/>
      <c r="D517" s="65" t="b">
        <v>0</v>
      </c>
      <c r="E517" s="65" t="b">
        <v>1</v>
      </c>
      <c r="F517" s="65" t="s">
        <v>37</v>
      </c>
      <c r="G517" s="299"/>
      <c r="H517" s="300"/>
      <c r="I517" s="300"/>
      <c r="J517" s="300"/>
      <c r="K517" s="300"/>
      <c r="L517" s="300"/>
      <c r="M517" s="300"/>
      <c r="N517" s="300"/>
      <c r="O517" s="300"/>
      <c r="P517" s="300"/>
      <c r="Q517" s="300"/>
      <c r="R517" s="301"/>
      <c r="S517" s="152" t="s">
        <v>121</v>
      </c>
      <c r="T517" s="65"/>
      <c r="U517" s="66"/>
      <c r="V517" s="66"/>
    </row>
    <row r="518" spans="1:22" ht="29">
      <c r="A518" s="61" t="b">
        <v>0</v>
      </c>
      <c r="B518" s="62" t="s">
        <v>38</v>
      </c>
      <c r="C518" s="62"/>
      <c r="D518" s="62" t="b">
        <v>0</v>
      </c>
      <c r="E518" s="62" t="b">
        <v>1</v>
      </c>
      <c r="F518" s="71"/>
      <c r="G518" s="308" t="s">
        <v>899</v>
      </c>
      <c r="H518" s="309"/>
      <c r="I518" s="309"/>
      <c r="J518" s="309"/>
      <c r="K518" s="309"/>
      <c r="L518" s="309"/>
      <c r="M518" s="309"/>
      <c r="N518" s="309"/>
      <c r="O518" s="309"/>
      <c r="P518" s="309"/>
      <c r="Q518" s="309"/>
      <c r="R518" s="310"/>
      <c r="S518" s="70" t="s">
        <v>900</v>
      </c>
      <c r="T518" s="71" t="s">
        <v>160</v>
      </c>
      <c r="U518" s="41" t="s">
        <v>20</v>
      </c>
      <c r="V518" s="99" t="s">
        <v>161</v>
      </c>
    </row>
    <row r="519" spans="1:22" ht="29">
      <c r="A519" s="61" t="b">
        <v>0</v>
      </c>
      <c r="B519" s="62" t="s">
        <v>38</v>
      </c>
      <c r="C519" s="62"/>
      <c r="D519" s="62" t="b">
        <v>0</v>
      </c>
      <c r="E519" s="62" t="b">
        <v>1</v>
      </c>
      <c r="F519" s="71"/>
      <c r="G519" s="308"/>
      <c r="H519" s="309"/>
      <c r="I519" s="309"/>
      <c r="J519" s="309"/>
      <c r="K519" s="309"/>
      <c r="L519" s="309"/>
      <c r="M519" s="309"/>
      <c r="N519" s="309"/>
      <c r="O519" s="309"/>
      <c r="P519" s="309"/>
      <c r="Q519" s="309"/>
      <c r="R519" s="310"/>
      <c r="S519" s="70"/>
      <c r="T519" s="71" t="s">
        <v>160</v>
      </c>
      <c r="U519" s="41" t="s">
        <v>20</v>
      </c>
      <c r="V519" s="99" t="s">
        <v>161</v>
      </c>
    </row>
    <row r="520" spans="1:22" ht="29">
      <c r="A520" s="52" t="s">
        <v>4</v>
      </c>
      <c r="B520" s="52" t="s">
        <v>5</v>
      </c>
      <c r="C520" s="52" t="s">
        <v>6</v>
      </c>
      <c r="D520" s="52" t="s">
        <v>113</v>
      </c>
      <c r="E520" s="52" t="s">
        <v>114</v>
      </c>
      <c r="F520" s="52" t="s">
        <v>9</v>
      </c>
      <c r="G520" s="287" t="s">
        <v>10</v>
      </c>
      <c r="H520" s="288"/>
      <c r="I520" s="288"/>
      <c r="J520" s="288"/>
      <c r="K520" s="288"/>
      <c r="L520" s="288"/>
      <c r="M520" s="288"/>
      <c r="N520" s="288"/>
      <c r="O520" s="288"/>
      <c r="P520" s="288"/>
      <c r="Q520" s="288"/>
      <c r="R520" s="289"/>
      <c r="S520" s="151"/>
      <c r="T520" s="52" t="s">
        <v>12</v>
      </c>
      <c r="U520" s="16" t="s">
        <v>13</v>
      </c>
      <c r="V520" s="16" t="s">
        <v>14</v>
      </c>
    </row>
    <row r="521" spans="1:22">
      <c r="A521" s="55"/>
      <c r="B521" s="56" t="s">
        <v>15</v>
      </c>
      <c r="C521" s="56"/>
      <c r="D521" s="56" t="b">
        <v>0</v>
      </c>
      <c r="E521" s="56" t="b">
        <v>1</v>
      </c>
      <c r="F521" s="56"/>
      <c r="G521" s="290" t="s">
        <v>901</v>
      </c>
      <c r="H521" s="291"/>
      <c r="I521" s="291"/>
      <c r="J521" s="291"/>
      <c r="K521" s="291"/>
      <c r="L521" s="291"/>
      <c r="M521" s="291"/>
      <c r="N521" s="291"/>
      <c r="O521" s="291"/>
      <c r="P521" s="291"/>
      <c r="Q521" s="291"/>
      <c r="R521" s="292"/>
      <c r="S521" s="72"/>
      <c r="T521" s="56"/>
      <c r="U521" s="57"/>
      <c r="V521" s="57"/>
    </row>
    <row r="522" spans="1:22" ht="29">
      <c r="A522" s="58"/>
      <c r="B522" s="59" t="s">
        <v>17</v>
      </c>
      <c r="C522" s="59"/>
      <c r="D522" s="59" t="b">
        <v>0</v>
      </c>
      <c r="E522" s="59" t="b">
        <v>1</v>
      </c>
      <c r="F522" s="59" t="s">
        <v>18</v>
      </c>
      <c r="G522" s="293" t="s">
        <v>902</v>
      </c>
      <c r="H522" s="294"/>
      <c r="I522" s="294"/>
      <c r="J522" s="294"/>
      <c r="K522" s="294"/>
      <c r="L522" s="294"/>
      <c r="M522" s="294"/>
      <c r="N522" s="294"/>
      <c r="O522" s="294"/>
      <c r="P522" s="294"/>
      <c r="Q522" s="294"/>
      <c r="R522" s="295"/>
      <c r="S522" s="73"/>
      <c r="T522" s="135" t="s">
        <v>120</v>
      </c>
      <c r="U522" s="41" t="s">
        <v>127</v>
      </c>
      <c r="V522" s="60"/>
    </row>
    <row r="523" spans="1:22" hidden="1">
      <c r="A523" s="61" t="b">
        <v>1</v>
      </c>
      <c r="B523" s="62" t="s">
        <v>21</v>
      </c>
      <c r="C523" s="62"/>
      <c r="D523" s="62" t="b">
        <v>0</v>
      </c>
      <c r="E523" s="62" t="b">
        <v>1</v>
      </c>
      <c r="F523" s="71" t="s">
        <v>22</v>
      </c>
      <c r="G523" s="54" t="s">
        <v>57</v>
      </c>
      <c r="H523" s="54"/>
      <c r="I523" s="54"/>
      <c r="J523" s="54"/>
      <c r="K523" s="54"/>
      <c r="L523" s="54"/>
      <c r="M523" s="54"/>
      <c r="N523" s="54"/>
      <c r="O523" s="54"/>
      <c r="P523" s="54"/>
      <c r="Q523" s="54"/>
      <c r="R523" s="54"/>
      <c r="S523" s="70"/>
      <c r="T523" s="71"/>
      <c r="U523" s="54"/>
      <c r="V523" s="63"/>
    </row>
    <row r="524" spans="1:22" hidden="1">
      <c r="A524" s="61" t="b">
        <v>0</v>
      </c>
      <c r="B524" s="62" t="s">
        <v>24</v>
      </c>
      <c r="C524" s="62"/>
      <c r="D524" s="62" t="b">
        <v>0</v>
      </c>
      <c r="E524" s="62" t="b">
        <v>1</v>
      </c>
      <c r="F524" s="71" t="s">
        <v>25</v>
      </c>
      <c r="G524" s="54">
        <v>1</v>
      </c>
      <c r="H524" s="54"/>
      <c r="I524" s="54"/>
      <c r="J524" s="54"/>
      <c r="K524" s="54"/>
      <c r="L524" s="54"/>
      <c r="M524" s="54"/>
      <c r="N524" s="54"/>
      <c r="O524" s="54"/>
      <c r="P524" s="54"/>
      <c r="Q524" s="54"/>
      <c r="R524" s="54"/>
      <c r="S524" s="70"/>
      <c r="T524" s="71"/>
      <c r="U524" s="54"/>
      <c r="V524" s="63"/>
    </row>
    <row r="525" spans="1:22" hidden="1">
      <c r="A525" s="61" t="b">
        <v>0</v>
      </c>
      <c r="B525" s="62" t="s">
        <v>26</v>
      </c>
      <c r="C525" s="62"/>
      <c r="D525" s="62" t="b">
        <v>0</v>
      </c>
      <c r="E525" s="62" t="b">
        <v>1</v>
      </c>
      <c r="F525" s="71" t="s">
        <v>27</v>
      </c>
      <c r="G525" s="54"/>
      <c r="H525" s="54"/>
      <c r="I525" s="54"/>
      <c r="J525" s="54"/>
      <c r="K525" s="54"/>
      <c r="L525" s="54"/>
      <c r="M525" s="54"/>
      <c r="N525" s="54"/>
      <c r="O525" s="54"/>
      <c r="P525" s="54"/>
      <c r="Q525" s="54"/>
      <c r="R525" s="54"/>
      <c r="S525" s="70"/>
      <c r="T525" s="71"/>
      <c r="U525" s="54"/>
      <c r="V525" s="63"/>
    </row>
    <row r="526" spans="1:22" hidden="1">
      <c r="A526" s="57" t="b">
        <v>1</v>
      </c>
      <c r="B526" s="57" t="s">
        <v>28</v>
      </c>
      <c r="C526" s="57"/>
      <c r="D526" s="57" t="b">
        <v>0</v>
      </c>
      <c r="E526" s="57" t="b">
        <v>1</v>
      </c>
      <c r="F526" s="56"/>
      <c r="G526" s="57" t="s">
        <v>903</v>
      </c>
      <c r="H526" s="57"/>
      <c r="I526" s="57"/>
      <c r="J526" s="57"/>
      <c r="K526" s="57"/>
      <c r="L526" s="57"/>
      <c r="M526" s="57"/>
      <c r="N526" s="57"/>
      <c r="O526" s="57"/>
      <c r="P526" s="57"/>
      <c r="Q526" s="57"/>
      <c r="R526" s="57"/>
      <c r="S526" s="72"/>
      <c r="T526" s="56"/>
      <c r="U526" s="57"/>
      <c r="V526" s="57"/>
    </row>
    <row r="527" spans="1:22" hidden="1">
      <c r="A527" s="59"/>
      <c r="B527" s="59" t="s">
        <v>31</v>
      </c>
      <c r="C527" s="59"/>
      <c r="D527" s="59" t="b">
        <v>0</v>
      </c>
      <c r="E527" s="59" t="b">
        <v>1</v>
      </c>
      <c r="F527" s="59" t="s">
        <v>32</v>
      </c>
      <c r="G527" s="59"/>
      <c r="H527" s="59"/>
      <c r="I527" s="59"/>
      <c r="J527" s="59"/>
      <c r="K527" s="59"/>
      <c r="L527" s="59"/>
      <c r="M527" s="59"/>
      <c r="N527" s="59"/>
      <c r="O527" s="59"/>
      <c r="P527" s="59"/>
      <c r="Q527" s="59"/>
      <c r="R527" s="59"/>
      <c r="S527" s="73" t="s">
        <v>121</v>
      </c>
      <c r="T527" s="59"/>
      <c r="U527" s="59"/>
      <c r="V527" s="59"/>
    </row>
    <row r="528" spans="1:22">
      <c r="A528" s="61" t="b">
        <v>1</v>
      </c>
      <c r="B528" s="62" t="s">
        <v>904</v>
      </c>
      <c r="C528" s="62"/>
      <c r="D528" s="62" t="b">
        <v>1</v>
      </c>
      <c r="E528" s="62" t="b">
        <v>1</v>
      </c>
      <c r="F528" s="71" t="s">
        <v>905</v>
      </c>
      <c r="G528" s="302" t="s">
        <v>906</v>
      </c>
      <c r="H528" s="303"/>
      <c r="I528" s="303"/>
      <c r="J528" s="303"/>
      <c r="K528" s="303"/>
      <c r="L528" s="303"/>
      <c r="M528" s="303"/>
      <c r="N528" s="303"/>
      <c r="O528" s="303"/>
      <c r="P528" s="303"/>
      <c r="Q528" s="303"/>
      <c r="R528" s="304"/>
      <c r="S528" s="70" t="s">
        <v>907</v>
      </c>
      <c r="T528" s="71" t="s">
        <v>153</v>
      </c>
      <c r="U528" s="41" t="s">
        <v>127</v>
      </c>
      <c r="V528" s="63"/>
    </row>
    <row r="529" spans="1:22">
      <c r="A529" s="61"/>
      <c r="B529" s="62"/>
      <c r="C529" s="62"/>
      <c r="D529" s="62"/>
      <c r="E529" s="62"/>
      <c r="F529" s="71" t="s">
        <v>908</v>
      </c>
      <c r="G529" s="302" t="s">
        <v>909</v>
      </c>
      <c r="H529" s="303"/>
      <c r="I529" s="303"/>
      <c r="J529" s="303"/>
      <c r="K529" s="303"/>
      <c r="L529" s="303"/>
      <c r="M529" s="303"/>
      <c r="N529" s="303"/>
      <c r="O529" s="303"/>
      <c r="P529" s="303"/>
      <c r="Q529" s="303"/>
      <c r="R529" s="304"/>
      <c r="S529" s="70" t="s">
        <v>910</v>
      </c>
      <c r="T529" s="71"/>
      <c r="U529" s="41" t="s">
        <v>127</v>
      </c>
      <c r="V529" s="63"/>
    </row>
    <row r="530" spans="1:22">
      <c r="A530" s="61" t="b">
        <v>1</v>
      </c>
      <c r="B530" s="62" t="s">
        <v>904</v>
      </c>
      <c r="C530" s="62"/>
      <c r="D530" s="62" t="b">
        <v>1</v>
      </c>
      <c r="E530" s="62" t="b">
        <v>1</v>
      </c>
      <c r="F530" s="71" t="s">
        <v>911</v>
      </c>
      <c r="G530" s="302" t="s">
        <v>912</v>
      </c>
      <c r="H530" s="303"/>
      <c r="I530" s="303"/>
      <c r="J530" s="303"/>
      <c r="K530" s="303"/>
      <c r="L530" s="303"/>
      <c r="M530" s="303"/>
      <c r="N530" s="303"/>
      <c r="O530" s="303"/>
      <c r="P530" s="303"/>
      <c r="Q530" s="303"/>
      <c r="R530" s="304"/>
      <c r="S530" s="70" t="s">
        <v>913</v>
      </c>
      <c r="T530" s="71" t="s">
        <v>153</v>
      </c>
      <c r="U530" s="41" t="s">
        <v>127</v>
      </c>
      <c r="V530" s="63"/>
    </row>
    <row r="531" spans="1:22">
      <c r="A531" s="61" t="b">
        <v>1</v>
      </c>
      <c r="B531" s="62" t="s">
        <v>904</v>
      </c>
      <c r="C531" s="62"/>
      <c r="D531" s="62" t="b">
        <v>1</v>
      </c>
      <c r="E531" s="62" t="b">
        <v>1</v>
      </c>
      <c r="F531" s="71" t="s">
        <v>914</v>
      </c>
      <c r="G531" s="302" t="s">
        <v>915</v>
      </c>
      <c r="H531" s="303"/>
      <c r="I531" s="303"/>
      <c r="J531" s="303"/>
      <c r="K531" s="303"/>
      <c r="L531" s="303"/>
      <c r="M531" s="303"/>
      <c r="N531" s="303"/>
      <c r="O531" s="303"/>
      <c r="P531" s="303"/>
      <c r="Q531" s="303"/>
      <c r="R531" s="304"/>
      <c r="S531" s="70" t="s">
        <v>916</v>
      </c>
      <c r="T531" s="71" t="s">
        <v>153</v>
      </c>
      <c r="U531" s="41" t="s">
        <v>127</v>
      </c>
      <c r="V531" s="63"/>
    </row>
    <row r="532" spans="1:22">
      <c r="A532" s="61" t="b">
        <v>1</v>
      </c>
      <c r="B532" s="62" t="s">
        <v>904</v>
      </c>
      <c r="C532" s="62"/>
      <c r="D532" s="62" t="b">
        <v>1</v>
      </c>
      <c r="E532" s="62" t="b">
        <v>1</v>
      </c>
      <c r="F532" s="71" t="s">
        <v>917</v>
      </c>
      <c r="G532" s="302"/>
      <c r="H532" s="303"/>
      <c r="I532" s="303"/>
      <c r="J532" s="303"/>
      <c r="K532" s="303"/>
      <c r="L532" s="303"/>
      <c r="M532" s="303"/>
      <c r="N532" s="303"/>
      <c r="O532" s="303"/>
      <c r="P532" s="303"/>
      <c r="Q532" s="303"/>
      <c r="R532" s="304"/>
      <c r="S532" s="70" t="s">
        <v>918</v>
      </c>
      <c r="T532" s="71" t="s">
        <v>153</v>
      </c>
      <c r="U532" s="41" t="s">
        <v>20</v>
      </c>
      <c r="V532" s="63"/>
    </row>
    <row r="533" spans="1:22">
      <c r="A533" s="61" t="b">
        <v>1</v>
      </c>
      <c r="B533" s="62" t="s">
        <v>904</v>
      </c>
      <c r="C533" s="62"/>
      <c r="D533" s="62" t="b">
        <v>1</v>
      </c>
      <c r="E533" s="62" t="b">
        <v>1</v>
      </c>
      <c r="F533" s="71" t="s">
        <v>919</v>
      </c>
      <c r="G533" s="302"/>
      <c r="H533" s="303"/>
      <c r="I533" s="303"/>
      <c r="J533" s="303"/>
      <c r="K533" s="303"/>
      <c r="L533" s="303"/>
      <c r="M533" s="303"/>
      <c r="N533" s="303"/>
      <c r="O533" s="303"/>
      <c r="P533" s="303"/>
      <c r="Q533" s="303"/>
      <c r="R533" s="304"/>
      <c r="S533" s="70" t="s">
        <v>920</v>
      </c>
      <c r="T533" s="71" t="s">
        <v>153</v>
      </c>
      <c r="U533" s="41" t="s">
        <v>20</v>
      </c>
      <c r="V533" s="63"/>
    </row>
    <row r="534" spans="1:22">
      <c r="A534" s="61" t="b">
        <v>1</v>
      </c>
      <c r="B534" s="62" t="s">
        <v>904</v>
      </c>
      <c r="C534" s="62"/>
      <c r="D534" s="62" t="b">
        <v>1</v>
      </c>
      <c r="E534" s="62" t="b">
        <v>1</v>
      </c>
      <c r="F534" s="71" t="s">
        <v>921</v>
      </c>
      <c r="G534" s="302"/>
      <c r="H534" s="303"/>
      <c r="I534" s="303"/>
      <c r="J534" s="303"/>
      <c r="K534" s="303"/>
      <c r="L534" s="303"/>
      <c r="M534" s="303"/>
      <c r="N534" s="303"/>
      <c r="O534" s="303"/>
      <c r="P534" s="303"/>
      <c r="Q534" s="303"/>
      <c r="R534" s="304"/>
      <c r="S534" s="70" t="s">
        <v>922</v>
      </c>
      <c r="T534" s="71" t="s">
        <v>153</v>
      </c>
      <c r="U534" s="41" t="s">
        <v>20</v>
      </c>
      <c r="V534" s="63"/>
    </row>
    <row r="535" spans="1:22">
      <c r="A535" s="61" t="b">
        <v>1</v>
      </c>
      <c r="B535" s="62" t="s">
        <v>904</v>
      </c>
      <c r="C535" s="62"/>
      <c r="D535" s="62" t="b">
        <v>1</v>
      </c>
      <c r="E535" s="62" t="b">
        <v>1</v>
      </c>
      <c r="F535" s="71" t="s">
        <v>923</v>
      </c>
      <c r="G535" s="302"/>
      <c r="H535" s="303"/>
      <c r="I535" s="303"/>
      <c r="J535" s="303"/>
      <c r="K535" s="303"/>
      <c r="L535" s="303"/>
      <c r="M535" s="303"/>
      <c r="N535" s="303"/>
      <c r="O535" s="303"/>
      <c r="P535" s="303"/>
      <c r="Q535" s="303"/>
      <c r="R535" s="304"/>
      <c r="S535" s="70" t="s">
        <v>915</v>
      </c>
      <c r="T535" s="71" t="s">
        <v>153</v>
      </c>
      <c r="U535" s="41" t="s">
        <v>20</v>
      </c>
      <c r="V535" s="63"/>
    </row>
    <row r="536" spans="1:22">
      <c r="A536" s="61"/>
      <c r="B536" s="62"/>
      <c r="C536" s="62"/>
      <c r="D536" s="62"/>
      <c r="E536" s="62"/>
      <c r="F536" s="71" t="s">
        <v>924</v>
      </c>
      <c r="G536" s="302"/>
      <c r="H536" s="303"/>
      <c r="I536" s="303"/>
      <c r="J536" s="303"/>
      <c r="K536" s="303"/>
      <c r="L536" s="303"/>
      <c r="M536" s="303"/>
      <c r="N536" s="303"/>
      <c r="O536" s="303"/>
      <c r="P536" s="303"/>
      <c r="Q536" s="303"/>
      <c r="R536" s="304"/>
      <c r="S536" s="70" t="s">
        <v>925</v>
      </c>
      <c r="T536" s="71"/>
      <c r="U536" s="41"/>
      <c r="V536" s="63"/>
    </row>
    <row r="537" spans="1:22">
      <c r="A537" s="61" t="b">
        <v>1</v>
      </c>
      <c r="B537" s="62" t="s">
        <v>35</v>
      </c>
      <c r="C537" s="62"/>
      <c r="D537" s="62" t="b">
        <v>0</v>
      </c>
      <c r="E537" s="62" t="b">
        <v>1</v>
      </c>
      <c r="F537" s="71" t="s">
        <v>34</v>
      </c>
      <c r="G537" s="305" t="s">
        <v>926</v>
      </c>
      <c r="H537" s="306"/>
      <c r="I537" s="306"/>
      <c r="J537" s="306"/>
      <c r="K537" s="306"/>
      <c r="L537" s="306"/>
      <c r="M537" s="306"/>
      <c r="N537" s="306"/>
      <c r="O537" s="306"/>
      <c r="P537" s="306"/>
      <c r="Q537" s="306"/>
      <c r="R537" s="307"/>
      <c r="S537" s="70"/>
      <c r="T537" s="71" t="s">
        <v>153</v>
      </c>
      <c r="U537" s="41" t="s">
        <v>20</v>
      </c>
      <c r="V537" s="63"/>
    </row>
    <row r="538" spans="1:22">
      <c r="A538" s="61" t="b">
        <v>1</v>
      </c>
      <c r="B538" s="62" t="s">
        <v>927</v>
      </c>
      <c r="C538" s="62"/>
      <c r="D538" s="62" t="b">
        <v>1</v>
      </c>
      <c r="E538" s="62" t="b">
        <v>1</v>
      </c>
      <c r="F538" s="71" t="s">
        <v>923</v>
      </c>
      <c r="G538" s="302"/>
      <c r="H538" s="303"/>
      <c r="I538" s="303"/>
      <c r="J538" s="303"/>
      <c r="K538" s="303"/>
      <c r="L538" s="303"/>
      <c r="M538" s="303"/>
      <c r="N538" s="303"/>
      <c r="O538" s="303"/>
      <c r="P538" s="303"/>
      <c r="Q538" s="303"/>
      <c r="R538" s="304"/>
      <c r="S538" s="70" t="s">
        <v>928</v>
      </c>
      <c r="T538" s="71" t="s">
        <v>153</v>
      </c>
      <c r="U538" s="41" t="s">
        <v>20</v>
      </c>
      <c r="V538" s="63"/>
    </row>
    <row r="539" spans="1:22">
      <c r="A539" s="61" t="b">
        <v>1</v>
      </c>
      <c r="B539" s="62" t="s">
        <v>927</v>
      </c>
      <c r="C539" s="62"/>
      <c r="D539" s="62" t="b">
        <v>1</v>
      </c>
      <c r="E539" s="62" t="b">
        <v>1</v>
      </c>
      <c r="F539" s="71" t="s">
        <v>924</v>
      </c>
      <c r="G539" s="302"/>
      <c r="H539" s="303"/>
      <c r="I539" s="303"/>
      <c r="J539" s="303"/>
      <c r="K539" s="303"/>
      <c r="L539" s="303"/>
      <c r="M539" s="303"/>
      <c r="N539" s="303"/>
      <c r="O539" s="303"/>
      <c r="P539" s="303"/>
      <c r="Q539" s="303"/>
      <c r="R539" s="304"/>
      <c r="S539" s="70" t="s">
        <v>929</v>
      </c>
      <c r="T539" s="71" t="s">
        <v>153</v>
      </c>
      <c r="U539" s="41" t="s">
        <v>20</v>
      </c>
      <c r="V539" s="63"/>
    </row>
    <row r="540" spans="1:22">
      <c r="A540" s="61" t="b">
        <v>1</v>
      </c>
      <c r="B540" s="62" t="s">
        <v>930</v>
      </c>
      <c r="C540" s="62"/>
      <c r="D540" s="62" t="b">
        <v>1</v>
      </c>
      <c r="E540" s="62" t="b">
        <v>1</v>
      </c>
      <c r="F540" s="71" t="s">
        <v>931</v>
      </c>
      <c r="G540" s="302"/>
      <c r="H540" s="303"/>
      <c r="I540" s="303"/>
      <c r="J540" s="303"/>
      <c r="K540" s="303"/>
      <c r="L540" s="303"/>
      <c r="M540" s="303"/>
      <c r="N540" s="303"/>
      <c r="O540" s="303"/>
      <c r="P540" s="303"/>
      <c r="Q540" s="303"/>
      <c r="R540" s="304"/>
      <c r="S540" s="70" t="s">
        <v>932</v>
      </c>
      <c r="T540" s="71" t="s">
        <v>153</v>
      </c>
      <c r="U540" s="41" t="s">
        <v>20</v>
      </c>
      <c r="V540" s="63"/>
    </row>
    <row r="541" spans="1:22">
      <c r="A541" s="65"/>
      <c r="B541" s="65" t="s">
        <v>36</v>
      </c>
      <c r="C541" s="65"/>
      <c r="D541" s="65" t="b">
        <v>0</v>
      </c>
      <c r="E541" s="65" t="b">
        <v>1</v>
      </c>
      <c r="F541" s="65" t="s">
        <v>37</v>
      </c>
      <c r="G541" s="299"/>
      <c r="H541" s="300"/>
      <c r="I541" s="300"/>
      <c r="J541" s="300"/>
      <c r="K541" s="300"/>
      <c r="L541" s="300"/>
      <c r="M541" s="300"/>
      <c r="N541" s="300"/>
      <c r="O541" s="300"/>
      <c r="P541" s="300"/>
      <c r="Q541" s="300"/>
      <c r="R541" s="301"/>
      <c r="S541" s="152" t="s">
        <v>121</v>
      </c>
      <c r="T541" s="65"/>
      <c r="U541" s="66"/>
      <c r="V541" s="66"/>
    </row>
    <row r="542" spans="1:22" ht="29">
      <c r="A542" s="61" t="b">
        <v>0</v>
      </c>
      <c r="B542" s="62" t="s">
        <v>38</v>
      </c>
      <c r="C542" s="62"/>
      <c r="D542" s="62" t="b">
        <v>1</v>
      </c>
      <c r="E542" s="62" t="b">
        <v>1</v>
      </c>
      <c r="F542" s="71"/>
      <c r="G542" s="284" t="s">
        <v>933</v>
      </c>
      <c r="H542" s="285"/>
      <c r="I542" s="285"/>
      <c r="J542" s="285"/>
      <c r="K542" s="285"/>
      <c r="L542" s="285"/>
      <c r="M542" s="285"/>
      <c r="N542" s="285"/>
      <c r="O542" s="285"/>
      <c r="P542" s="285"/>
      <c r="Q542" s="285"/>
      <c r="R542" s="286"/>
      <c r="S542" s="70" t="s">
        <v>934</v>
      </c>
      <c r="T542" s="71" t="s">
        <v>160</v>
      </c>
      <c r="U542" s="41" t="s">
        <v>20</v>
      </c>
      <c r="V542" s="99" t="s">
        <v>161</v>
      </c>
    </row>
    <row r="543" spans="1:22">
      <c r="A543" s="61"/>
      <c r="B543" s="62"/>
      <c r="C543" s="62"/>
      <c r="D543" s="62"/>
      <c r="E543" s="62"/>
      <c r="F543" s="71"/>
      <c r="G543" s="284"/>
      <c r="H543" s="285"/>
      <c r="I543" s="285"/>
      <c r="J543" s="285"/>
      <c r="K543" s="285"/>
      <c r="L543" s="285"/>
      <c r="M543" s="285"/>
      <c r="N543" s="285"/>
      <c r="O543" s="285"/>
      <c r="P543" s="285"/>
      <c r="Q543" s="285"/>
      <c r="R543" s="286"/>
      <c r="S543" s="70" t="s">
        <v>935</v>
      </c>
      <c r="T543" s="71"/>
      <c r="U543" s="41"/>
      <c r="V543" s="99"/>
    </row>
    <row r="544" spans="1:22" ht="29">
      <c r="A544" s="61" t="b">
        <v>0</v>
      </c>
      <c r="B544" s="62" t="s">
        <v>38</v>
      </c>
      <c r="C544" s="62"/>
      <c r="D544" s="62" t="b">
        <v>1</v>
      </c>
      <c r="E544" s="62" t="b">
        <v>1</v>
      </c>
      <c r="F544" s="71"/>
      <c r="G544" s="284"/>
      <c r="H544" s="285"/>
      <c r="I544" s="285"/>
      <c r="J544" s="285"/>
      <c r="K544" s="285"/>
      <c r="L544" s="285"/>
      <c r="M544" s="285"/>
      <c r="N544" s="285"/>
      <c r="O544" s="285"/>
      <c r="P544" s="285"/>
      <c r="Q544" s="285"/>
      <c r="R544" s="286"/>
      <c r="S544" s="70" t="s">
        <v>936</v>
      </c>
      <c r="T544" s="71" t="s">
        <v>160</v>
      </c>
      <c r="U544" s="41" t="s">
        <v>20</v>
      </c>
      <c r="V544" s="99" t="s">
        <v>161</v>
      </c>
    </row>
    <row r="545" spans="1:22" ht="29">
      <c r="A545" s="52" t="s">
        <v>4</v>
      </c>
      <c r="B545" s="52" t="s">
        <v>5</v>
      </c>
      <c r="C545" s="52" t="s">
        <v>6</v>
      </c>
      <c r="D545" s="52" t="s">
        <v>113</v>
      </c>
      <c r="E545" s="52" t="s">
        <v>114</v>
      </c>
      <c r="F545" s="52" t="s">
        <v>9</v>
      </c>
      <c r="G545" s="287" t="s">
        <v>10</v>
      </c>
      <c r="H545" s="288"/>
      <c r="I545" s="288"/>
      <c r="J545" s="288"/>
      <c r="K545" s="288"/>
      <c r="L545" s="288"/>
      <c r="M545" s="288"/>
      <c r="N545" s="288"/>
      <c r="O545" s="288"/>
      <c r="P545" s="288"/>
      <c r="Q545" s="288"/>
      <c r="R545" s="289"/>
      <c r="S545" s="151"/>
      <c r="T545" s="52" t="s">
        <v>12</v>
      </c>
      <c r="U545" s="16" t="s">
        <v>13</v>
      </c>
      <c r="V545" s="16" t="s">
        <v>14</v>
      </c>
    </row>
    <row r="546" spans="1:22">
      <c r="A546" s="55"/>
      <c r="B546" s="56" t="s">
        <v>15</v>
      </c>
      <c r="C546" s="56"/>
      <c r="D546" s="56" t="b">
        <v>0</v>
      </c>
      <c r="E546" s="56" t="b">
        <v>1</v>
      </c>
      <c r="F546" s="56"/>
      <c r="G546" s="290" t="s">
        <v>937</v>
      </c>
      <c r="H546" s="291"/>
      <c r="I546" s="291"/>
      <c r="J546" s="291"/>
      <c r="K546" s="291"/>
      <c r="L546" s="291"/>
      <c r="M546" s="291"/>
      <c r="N546" s="291"/>
      <c r="O546" s="291"/>
      <c r="P546" s="291"/>
      <c r="Q546" s="291"/>
      <c r="R546" s="292"/>
      <c r="S546" s="72"/>
      <c r="T546" s="56"/>
      <c r="U546" s="57"/>
      <c r="V546" s="57"/>
    </row>
    <row r="547" spans="1:22">
      <c r="A547" s="58"/>
      <c r="B547" s="59" t="s">
        <v>17</v>
      </c>
      <c r="C547" s="59"/>
      <c r="D547" s="59" t="b">
        <v>0</v>
      </c>
      <c r="E547" s="59" t="b">
        <v>1</v>
      </c>
      <c r="F547" s="59" t="s">
        <v>18</v>
      </c>
      <c r="G547" s="293"/>
      <c r="H547" s="294"/>
      <c r="I547" s="294"/>
      <c r="J547" s="294"/>
      <c r="K547" s="294"/>
      <c r="L547" s="294"/>
      <c r="M547" s="294"/>
      <c r="N547" s="294"/>
      <c r="O547" s="294"/>
      <c r="P547" s="294"/>
      <c r="Q547" s="294"/>
      <c r="R547" s="295"/>
      <c r="S547" s="73"/>
      <c r="T547" s="59"/>
      <c r="U547" s="59"/>
      <c r="V547" s="60"/>
    </row>
    <row r="548" spans="1:22" hidden="1">
      <c r="A548" s="61" t="b">
        <v>1</v>
      </c>
      <c r="B548" s="62" t="s">
        <v>21</v>
      </c>
      <c r="C548" s="62"/>
      <c r="D548" s="62" t="b">
        <v>0</v>
      </c>
      <c r="E548" s="62" t="b">
        <v>1</v>
      </c>
      <c r="F548" s="71" t="s">
        <v>22</v>
      </c>
      <c r="G548" s="54" t="s">
        <v>57</v>
      </c>
      <c r="H548" s="54"/>
      <c r="I548" s="54"/>
      <c r="J548" s="54"/>
      <c r="K548" s="54"/>
      <c r="L548" s="54"/>
      <c r="M548" s="54"/>
      <c r="N548" s="54"/>
      <c r="O548" s="54"/>
      <c r="P548" s="54"/>
      <c r="Q548" s="54"/>
      <c r="R548" s="54"/>
      <c r="S548" s="70"/>
      <c r="T548" s="71"/>
      <c r="U548" s="54"/>
      <c r="V548" s="63"/>
    </row>
    <row r="549" spans="1:22" hidden="1">
      <c r="A549" s="61" t="b">
        <v>0</v>
      </c>
      <c r="B549" s="62" t="s">
        <v>24</v>
      </c>
      <c r="C549" s="62"/>
      <c r="D549" s="62" t="b">
        <v>0</v>
      </c>
      <c r="E549" s="62" t="b">
        <v>1</v>
      </c>
      <c r="F549" s="71" t="s">
        <v>25</v>
      </c>
      <c r="G549" s="54">
        <v>1</v>
      </c>
      <c r="H549" s="54"/>
      <c r="I549" s="54"/>
      <c r="J549" s="54"/>
      <c r="K549" s="54"/>
      <c r="L549" s="54"/>
      <c r="M549" s="54"/>
      <c r="N549" s="54"/>
      <c r="O549" s="54"/>
      <c r="P549" s="54"/>
      <c r="Q549" s="54"/>
      <c r="R549" s="54"/>
      <c r="S549" s="70"/>
      <c r="T549" s="71"/>
      <c r="U549" s="54"/>
      <c r="V549" s="63"/>
    </row>
    <row r="550" spans="1:22" hidden="1">
      <c r="A550" s="61" t="b">
        <v>0</v>
      </c>
      <c r="B550" s="62" t="s">
        <v>26</v>
      </c>
      <c r="C550" s="62"/>
      <c r="D550" s="62" t="b">
        <v>0</v>
      </c>
      <c r="E550" s="62" t="b">
        <v>1</v>
      </c>
      <c r="F550" s="71" t="s">
        <v>27</v>
      </c>
      <c r="G550" s="54"/>
      <c r="H550" s="54"/>
      <c r="I550" s="54"/>
      <c r="J550" s="54"/>
      <c r="K550" s="54"/>
      <c r="L550" s="54"/>
      <c r="M550" s="54"/>
      <c r="N550" s="54"/>
      <c r="O550" s="54"/>
      <c r="P550" s="54"/>
      <c r="Q550" s="54"/>
      <c r="R550" s="54"/>
      <c r="S550" s="70"/>
      <c r="T550" s="71"/>
      <c r="U550" s="54"/>
      <c r="V550" s="63"/>
    </row>
    <row r="551" spans="1:22" hidden="1">
      <c r="A551" s="57" t="b">
        <v>1</v>
      </c>
      <c r="B551" s="57" t="s">
        <v>28</v>
      </c>
      <c r="C551" s="57"/>
      <c r="D551" s="57" t="b">
        <v>0</v>
      </c>
      <c r="E551" s="57" t="b">
        <v>1</v>
      </c>
      <c r="F551" s="56"/>
      <c r="G551" s="57" t="s">
        <v>937</v>
      </c>
      <c r="H551" s="57"/>
      <c r="I551" s="57"/>
      <c r="J551" s="57"/>
      <c r="K551" s="57"/>
      <c r="L551" s="57"/>
      <c r="M551" s="57"/>
      <c r="N551" s="57"/>
      <c r="O551" s="57"/>
      <c r="P551" s="57"/>
      <c r="Q551" s="57"/>
      <c r="R551" s="57"/>
      <c r="S551" s="72"/>
      <c r="T551" s="56"/>
      <c r="U551" s="57"/>
      <c r="V551" s="57"/>
    </row>
    <row r="552" spans="1:22" hidden="1">
      <c r="A552" s="59"/>
      <c r="B552" s="59" t="s">
        <v>31</v>
      </c>
      <c r="C552" s="59"/>
      <c r="D552" s="59" t="b">
        <v>0</v>
      </c>
      <c r="E552" s="59" t="b">
        <v>1</v>
      </c>
      <c r="F552" s="59" t="s">
        <v>32</v>
      </c>
      <c r="G552" s="59"/>
      <c r="H552" s="59"/>
      <c r="I552" s="59"/>
      <c r="J552" s="59"/>
      <c r="K552" s="59"/>
      <c r="L552" s="59"/>
      <c r="M552" s="59"/>
      <c r="N552" s="59"/>
      <c r="O552" s="59"/>
      <c r="P552" s="59"/>
      <c r="Q552" s="59"/>
      <c r="R552" s="59"/>
      <c r="S552" s="73" t="s">
        <v>121</v>
      </c>
      <c r="T552" s="59"/>
      <c r="U552" s="59"/>
      <c r="V552" s="59"/>
    </row>
    <row r="553" spans="1:22" ht="78.75" customHeight="1">
      <c r="A553" s="61" t="b">
        <v>0</v>
      </c>
      <c r="B553" s="62" t="s">
        <v>938</v>
      </c>
      <c r="C553" s="62"/>
      <c r="D553" s="62" t="b">
        <v>1</v>
      </c>
      <c r="E553" s="62" t="b">
        <v>1</v>
      </c>
      <c r="F553" s="71" t="s">
        <v>939</v>
      </c>
      <c r="G553" s="296" t="s">
        <v>940</v>
      </c>
      <c r="H553" s="297"/>
      <c r="I553" s="297"/>
      <c r="J553" s="297"/>
      <c r="K553" s="297"/>
      <c r="L553" s="297"/>
      <c r="M553" s="297"/>
      <c r="N553" s="297"/>
      <c r="O553" s="297"/>
      <c r="P553" s="297"/>
      <c r="Q553" s="297"/>
      <c r="R553" s="298"/>
      <c r="S553" s="70"/>
      <c r="T553" s="71" t="s">
        <v>153</v>
      </c>
      <c r="U553" s="41" t="s">
        <v>20</v>
      </c>
      <c r="V553" s="63"/>
    </row>
    <row r="554" spans="1:22">
      <c r="A554" s="65"/>
      <c r="B554" s="65" t="s">
        <v>36</v>
      </c>
      <c r="C554" s="65"/>
      <c r="D554" s="65" t="b">
        <v>0</v>
      </c>
      <c r="E554" s="65" t="b">
        <v>1</v>
      </c>
      <c r="F554" s="65" t="s">
        <v>37</v>
      </c>
      <c r="G554" s="299"/>
      <c r="H554" s="300"/>
      <c r="I554" s="300"/>
      <c r="J554" s="300"/>
      <c r="K554" s="300"/>
      <c r="L554" s="300"/>
      <c r="M554" s="300"/>
      <c r="N554" s="300"/>
      <c r="O554" s="300"/>
      <c r="P554" s="300"/>
      <c r="Q554" s="300"/>
      <c r="R554" s="301"/>
      <c r="S554" s="152" t="s">
        <v>121</v>
      </c>
      <c r="T554" s="65"/>
      <c r="U554" s="65"/>
      <c r="V554" s="65"/>
    </row>
    <row r="555" spans="1:22" ht="87">
      <c r="A555" s="61" t="b">
        <v>0</v>
      </c>
      <c r="B555" s="62" t="s">
        <v>38</v>
      </c>
      <c r="C555" s="62"/>
      <c r="D555" s="62" t="b">
        <v>1</v>
      </c>
      <c r="E555" s="62" t="b">
        <v>1</v>
      </c>
      <c r="F555" s="71"/>
      <c r="G555" s="284"/>
      <c r="H555" s="285"/>
      <c r="I555" s="285"/>
      <c r="J555" s="285"/>
      <c r="K555" s="285"/>
      <c r="L555" s="285"/>
      <c r="M555" s="285"/>
      <c r="N555" s="285"/>
      <c r="O555" s="285"/>
      <c r="P555" s="285"/>
      <c r="Q555" s="285"/>
      <c r="R555" s="286"/>
      <c r="S555" s="70" t="s">
        <v>941</v>
      </c>
      <c r="T555" s="71" t="s">
        <v>160</v>
      </c>
      <c r="U555" s="41" t="s">
        <v>20</v>
      </c>
      <c r="V555" s="99" t="s">
        <v>942</v>
      </c>
    </row>
    <row r="556" spans="1:22" ht="152.25" customHeight="1">
      <c r="A556" s="61" t="b">
        <v>0</v>
      </c>
      <c r="B556" s="62" t="s">
        <v>38</v>
      </c>
      <c r="C556" s="62"/>
      <c r="D556" s="62" t="b">
        <v>1</v>
      </c>
      <c r="E556" s="62" t="b">
        <v>1</v>
      </c>
      <c r="F556" s="71"/>
      <c r="G556" s="284"/>
      <c r="H556" s="285"/>
      <c r="I556" s="285"/>
      <c r="J556" s="285"/>
      <c r="K556" s="285"/>
      <c r="L556" s="285"/>
      <c r="M556" s="285"/>
      <c r="N556" s="285"/>
      <c r="O556" s="285"/>
      <c r="P556" s="285"/>
      <c r="Q556" s="285"/>
      <c r="R556" s="286"/>
      <c r="S556" s="70" t="s">
        <v>943</v>
      </c>
      <c r="T556" s="71" t="s">
        <v>160</v>
      </c>
      <c r="U556" s="41" t="s">
        <v>20</v>
      </c>
      <c r="V556" s="63"/>
    </row>
    <row r="557" spans="1:22" ht="29">
      <c r="A557" s="52" t="s">
        <v>4</v>
      </c>
      <c r="B557" s="52" t="s">
        <v>5</v>
      </c>
      <c r="C557" s="52" t="s">
        <v>6</v>
      </c>
      <c r="D557" s="52" t="s">
        <v>113</v>
      </c>
      <c r="E557" s="52" t="s">
        <v>114</v>
      </c>
      <c r="F557" s="52" t="s">
        <v>9</v>
      </c>
      <c r="G557" s="344" t="s">
        <v>10</v>
      </c>
      <c r="H557" s="345"/>
      <c r="I557" s="345"/>
      <c r="J557" s="345"/>
      <c r="K557" s="345"/>
      <c r="L557" s="345"/>
      <c r="M557" s="345"/>
      <c r="N557" s="345"/>
      <c r="O557" s="345"/>
      <c r="P557" s="345"/>
      <c r="Q557" s="345"/>
      <c r="R557" s="346"/>
      <c r="S557" s="151"/>
      <c r="T557" s="52" t="s">
        <v>12</v>
      </c>
      <c r="U557" s="16" t="s">
        <v>13</v>
      </c>
      <c r="V557" s="16" t="s">
        <v>14</v>
      </c>
    </row>
    <row r="558" spans="1:22">
      <c r="A558" s="55"/>
      <c r="B558" s="56" t="s">
        <v>15</v>
      </c>
      <c r="C558" s="56"/>
      <c r="D558" s="56" t="b">
        <v>0</v>
      </c>
      <c r="E558" s="56" t="b">
        <v>1</v>
      </c>
      <c r="F558" s="56"/>
      <c r="G558" s="290" t="s">
        <v>944</v>
      </c>
      <c r="H558" s="291"/>
      <c r="I558" s="291"/>
      <c r="J558" s="291"/>
      <c r="K558" s="291"/>
      <c r="L558" s="291"/>
      <c r="M558" s="291"/>
      <c r="N558" s="291"/>
      <c r="O558" s="291"/>
      <c r="P558" s="291"/>
      <c r="Q558" s="291"/>
      <c r="R558" s="292"/>
      <c r="S558" s="72"/>
      <c r="T558" s="56"/>
      <c r="U558" s="57"/>
      <c r="V558" s="57"/>
    </row>
    <row r="559" spans="1:22">
      <c r="A559" s="58"/>
      <c r="B559" s="59" t="s">
        <v>17</v>
      </c>
      <c r="C559" s="59"/>
      <c r="D559" s="59" t="b">
        <v>0</v>
      </c>
      <c r="E559" s="59" t="b">
        <v>1</v>
      </c>
      <c r="F559" s="59" t="s">
        <v>18</v>
      </c>
      <c r="G559" s="347"/>
      <c r="H559" s="348"/>
      <c r="I559" s="348"/>
      <c r="J559" s="348"/>
      <c r="K559" s="348"/>
      <c r="L559" s="348"/>
      <c r="M559" s="348"/>
      <c r="N559" s="348"/>
      <c r="O559" s="348"/>
      <c r="P559" s="348"/>
      <c r="Q559" s="348"/>
      <c r="R559" s="349"/>
      <c r="S559" s="73"/>
      <c r="T559" s="59"/>
      <c r="U559" s="59"/>
      <c r="V559" s="60"/>
    </row>
    <row r="560" spans="1:22" hidden="1">
      <c r="A560" s="61" t="b">
        <v>1</v>
      </c>
      <c r="B560" s="62" t="s">
        <v>21</v>
      </c>
      <c r="C560" s="62"/>
      <c r="D560" s="62" t="b">
        <v>0</v>
      </c>
      <c r="E560" s="62" t="b">
        <v>1</v>
      </c>
      <c r="F560" s="71" t="s">
        <v>22</v>
      </c>
      <c r="G560" s="54" t="s">
        <v>57</v>
      </c>
      <c r="H560" s="54"/>
      <c r="I560" s="54"/>
      <c r="J560" s="54"/>
      <c r="K560" s="54"/>
      <c r="L560" s="54"/>
      <c r="M560" s="54"/>
      <c r="N560" s="54"/>
      <c r="O560" s="54"/>
      <c r="P560" s="54"/>
      <c r="Q560" s="54"/>
      <c r="R560" s="54"/>
      <c r="S560" s="70"/>
      <c r="T560" s="71"/>
      <c r="U560" s="54"/>
      <c r="V560" s="63"/>
    </row>
    <row r="561" spans="1:22" hidden="1">
      <c r="A561" s="61" t="b">
        <v>0</v>
      </c>
      <c r="B561" s="62" t="s">
        <v>24</v>
      </c>
      <c r="C561" s="62"/>
      <c r="D561" s="62" t="b">
        <v>0</v>
      </c>
      <c r="E561" s="62" t="b">
        <v>1</v>
      </c>
      <c r="F561" s="71" t="s">
        <v>25</v>
      </c>
      <c r="G561" s="54">
        <v>1</v>
      </c>
      <c r="H561" s="54"/>
      <c r="I561" s="54"/>
      <c r="J561" s="54"/>
      <c r="K561" s="54"/>
      <c r="L561" s="54"/>
      <c r="M561" s="54"/>
      <c r="N561" s="54"/>
      <c r="O561" s="54"/>
      <c r="P561" s="54"/>
      <c r="Q561" s="54"/>
      <c r="R561" s="54"/>
      <c r="S561" s="70"/>
      <c r="T561" s="71"/>
      <c r="U561" s="54"/>
      <c r="V561" s="63"/>
    </row>
    <row r="562" spans="1:22" hidden="1">
      <c r="A562" s="61" t="b">
        <v>0</v>
      </c>
      <c r="B562" s="62" t="s">
        <v>26</v>
      </c>
      <c r="C562" s="62"/>
      <c r="D562" s="62" t="b">
        <v>0</v>
      </c>
      <c r="E562" s="62" t="b">
        <v>1</v>
      </c>
      <c r="F562" s="71" t="s">
        <v>27</v>
      </c>
      <c r="G562" s="54"/>
      <c r="H562" s="54"/>
      <c r="I562" s="54"/>
      <c r="J562" s="54"/>
      <c r="K562" s="54"/>
      <c r="L562" s="54"/>
      <c r="M562" s="54"/>
      <c r="N562" s="54"/>
      <c r="O562" s="54"/>
      <c r="P562" s="54"/>
      <c r="Q562" s="54"/>
      <c r="R562" s="54"/>
      <c r="S562" s="70"/>
      <c r="T562" s="71"/>
      <c r="U562" s="54"/>
      <c r="V562" s="63"/>
    </row>
    <row r="563" spans="1:22" hidden="1">
      <c r="A563" s="57" t="b">
        <v>1</v>
      </c>
      <c r="B563" s="57" t="s">
        <v>28</v>
      </c>
      <c r="C563" s="57"/>
      <c r="D563" s="57" t="b">
        <v>0</v>
      </c>
      <c r="E563" s="57" t="b">
        <v>1</v>
      </c>
      <c r="F563" s="56"/>
      <c r="G563" s="57" t="s">
        <v>944</v>
      </c>
      <c r="H563" s="57"/>
      <c r="I563" s="57"/>
      <c r="J563" s="57"/>
      <c r="K563" s="57"/>
      <c r="L563" s="57"/>
      <c r="M563" s="57"/>
      <c r="N563" s="57"/>
      <c r="O563" s="57"/>
      <c r="P563" s="57"/>
      <c r="Q563" s="57"/>
      <c r="R563" s="57"/>
      <c r="S563" s="72"/>
      <c r="T563" s="56"/>
      <c r="U563" s="57"/>
      <c r="V563" s="57"/>
    </row>
    <row r="564" spans="1:22" hidden="1">
      <c r="A564" s="59"/>
      <c r="B564" s="59" t="s">
        <v>31</v>
      </c>
      <c r="C564" s="59"/>
      <c r="D564" s="59" t="b">
        <v>0</v>
      </c>
      <c r="E564" s="59" t="b">
        <v>1</v>
      </c>
      <c r="F564" s="59" t="s">
        <v>32</v>
      </c>
      <c r="G564" s="59"/>
      <c r="H564" s="59"/>
      <c r="I564" s="59"/>
      <c r="J564" s="59"/>
      <c r="K564" s="59"/>
      <c r="L564" s="59"/>
      <c r="M564" s="59"/>
      <c r="N564" s="59"/>
      <c r="O564" s="59"/>
      <c r="P564" s="59"/>
      <c r="Q564" s="59"/>
      <c r="R564" s="59"/>
      <c r="S564" s="73" t="s">
        <v>121</v>
      </c>
      <c r="T564" s="59"/>
      <c r="U564" s="59"/>
      <c r="V564" s="59"/>
    </row>
    <row r="565" spans="1:22" ht="29">
      <c r="A565" s="61" t="b">
        <v>0</v>
      </c>
      <c r="B565" s="62" t="s">
        <v>33</v>
      </c>
      <c r="C565" s="62"/>
      <c r="D565" s="62" t="b">
        <v>1</v>
      </c>
      <c r="E565" s="62" t="b">
        <v>1</v>
      </c>
      <c r="F565" s="71" t="s">
        <v>945</v>
      </c>
      <c r="G565" s="341" t="s">
        <v>946</v>
      </c>
      <c r="H565" s="342"/>
      <c r="I565" s="342"/>
      <c r="J565" s="342"/>
      <c r="K565" s="342"/>
      <c r="L565" s="342"/>
      <c r="M565" s="342"/>
      <c r="N565" s="342"/>
      <c r="O565" s="342"/>
      <c r="P565" s="342"/>
      <c r="Q565" s="342"/>
      <c r="R565" s="343"/>
      <c r="S565" s="256" t="s">
        <v>947</v>
      </c>
      <c r="T565" s="71" t="s">
        <v>153</v>
      </c>
      <c r="U565" s="41" t="s">
        <v>127</v>
      </c>
      <c r="V565" s="63"/>
    </row>
    <row r="566" spans="1:22" ht="29">
      <c r="A566" s="61"/>
      <c r="B566" s="62"/>
      <c r="C566" s="62"/>
      <c r="D566" s="62" t="b">
        <v>1</v>
      </c>
      <c r="E566" s="62" t="b">
        <v>1</v>
      </c>
      <c r="F566" s="71" t="s">
        <v>948</v>
      </c>
      <c r="G566" s="341" t="s">
        <v>949</v>
      </c>
      <c r="H566" s="342"/>
      <c r="I566" s="342"/>
      <c r="J566" s="342"/>
      <c r="K566" s="342"/>
      <c r="L566" s="342"/>
      <c r="M566" s="342"/>
      <c r="N566" s="342"/>
      <c r="O566" s="342"/>
      <c r="P566" s="342"/>
      <c r="Q566" s="342"/>
      <c r="R566" s="343"/>
      <c r="S566" s="214" t="s">
        <v>950</v>
      </c>
      <c r="T566" s="71" t="s">
        <v>153</v>
      </c>
      <c r="U566" s="41" t="s">
        <v>127</v>
      </c>
      <c r="V566" s="63"/>
    </row>
    <row r="567" spans="1:22" ht="29">
      <c r="A567" s="61"/>
      <c r="B567" s="62"/>
      <c r="C567" s="62"/>
      <c r="D567" s="62" t="b">
        <v>1</v>
      </c>
      <c r="E567" s="62" t="b">
        <v>1</v>
      </c>
      <c r="F567" s="71" t="s">
        <v>951</v>
      </c>
      <c r="G567" s="341" t="s">
        <v>952</v>
      </c>
      <c r="H567" s="342"/>
      <c r="I567" s="342"/>
      <c r="J567" s="342"/>
      <c r="K567" s="342"/>
      <c r="L567" s="342"/>
      <c r="M567" s="342"/>
      <c r="N567" s="342"/>
      <c r="O567" s="342"/>
      <c r="P567" s="342"/>
      <c r="Q567" s="342"/>
      <c r="R567" s="343"/>
      <c r="S567" s="214" t="s">
        <v>953</v>
      </c>
      <c r="T567" s="71" t="s">
        <v>153</v>
      </c>
      <c r="U567" s="41" t="s">
        <v>127</v>
      </c>
      <c r="V567" s="63"/>
    </row>
    <row r="568" spans="1:22" ht="29">
      <c r="A568" s="61"/>
      <c r="B568" s="62"/>
      <c r="C568" s="62"/>
      <c r="D568" s="62" t="b">
        <v>1</v>
      </c>
      <c r="E568" s="62" t="b">
        <v>1</v>
      </c>
      <c r="F568" s="71" t="s">
        <v>954</v>
      </c>
      <c r="G568" s="341" t="s">
        <v>955</v>
      </c>
      <c r="H568" s="342"/>
      <c r="I568" s="342"/>
      <c r="J568" s="342"/>
      <c r="K568" s="342"/>
      <c r="L568" s="342"/>
      <c r="M568" s="342"/>
      <c r="N568" s="342"/>
      <c r="O568" s="342"/>
      <c r="P568" s="342"/>
      <c r="Q568" s="342"/>
      <c r="R568" s="343"/>
      <c r="S568" s="214" t="s">
        <v>956</v>
      </c>
      <c r="T568" s="71" t="s">
        <v>153</v>
      </c>
      <c r="U568" s="41" t="s">
        <v>127</v>
      </c>
      <c r="V568" s="63"/>
    </row>
    <row r="569" spans="1:22" ht="29">
      <c r="A569" s="61"/>
      <c r="B569" s="62"/>
      <c r="C569" s="62"/>
      <c r="D569" s="62" t="b">
        <v>1</v>
      </c>
      <c r="E569" s="62" t="b">
        <v>1</v>
      </c>
      <c r="F569" s="71" t="s">
        <v>957</v>
      </c>
      <c r="G569" s="341" t="s">
        <v>958</v>
      </c>
      <c r="H569" s="342"/>
      <c r="I569" s="342"/>
      <c r="J569" s="342"/>
      <c r="K569" s="342"/>
      <c r="L569" s="342"/>
      <c r="M569" s="342"/>
      <c r="N569" s="342"/>
      <c r="O569" s="342"/>
      <c r="P569" s="342"/>
      <c r="Q569" s="342"/>
      <c r="R569" s="343"/>
      <c r="S569" s="214" t="s">
        <v>959</v>
      </c>
      <c r="T569" s="71" t="s">
        <v>153</v>
      </c>
      <c r="U569" s="41" t="s">
        <v>127</v>
      </c>
      <c r="V569" s="63"/>
    </row>
    <row r="570" spans="1:22" ht="29">
      <c r="A570" s="52" t="s">
        <v>4</v>
      </c>
      <c r="B570" s="52" t="s">
        <v>5</v>
      </c>
      <c r="C570" s="52" t="s">
        <v>6</v>
      </c>
      <c r="D570" s="52" t="s">
        <v>113</v>
      </c>
      <c r="E570" s="52" t="s">
        <v>114</v>
      </c>
      <c r="F570" s="52" t="s">
        <v>9</v>
      </c>
      <c r="G570" s="287" t="s">
        <v>10</v>
      </c>
      <c r="H570" s="288"/>
      <c r="I570" s="288"/>
      <c r="J570" s="288"/>
      <c r="K570" s="288"/>
      <c r="L570" s="288"/>
      <c r="M570" s="288"/>
      <c r="N570" s="288"/>
      <c r="O570" s="288"/>
      <c r="P570" s="288"/>
      <c r="Q570" s="288"/>
      <c r="R570" s="289"/>
      <c r="S570" s="151"/>
      <c r="T570" s="52" t="s">
        <v>12</v>
      </c>
      <c r="U570" s="16" t="s">
        <v>13</v>
      </c>
      <c r="V570" s="16" t="s">
        <v>14</v>
      </c>
    </row>
    <row r="571" spans="1:22">
      <c r="A571" s="55"/>
      <c r="B571" s="56" t="s">
        <v>15</v>
      </c>
      <c r="C571" s="56"/>
      <c r="D571" s="56" t="b">
        <v>1</v>
      </c>
      <c r="E571" s="56" t="b">
        <v>0</v>
      </c>
      <c r="F571" s="56"/>
      <c r="G571" s="290" t="s">
        <v>960</v>
      </c>
      <c r="H571" s="291"/>
      <c r="I571" s="291"/>
      <c r="J571" s="291"/>
      <c r="K571" s="291"/>
      <c r="L571" s="291"/>
      <c r="M571" s="291"/>
      <c r="N571" s="291"/>
      <c r="O571" s="291"/>
      <c r="P571" s="291"/>
      <c r="Q571" s="291"/>
      <c r="R571" s="292"/>
      <c r="S571" s="72"/>
      <c r="T571" s="56"/>
      <c r="U571" s="57"/>
      <c r="V571" s="57"/>
    </row>
    <row r="572" spans="1:22">
      <c r="A572" s="58"/>
      <c r="B572" s="59" t="s">
        <v>17</v>
      </c>
      <c r="C572" s="59"/>
      <c r="D572" s="59" t="b">
        <v>1</v>
      </c>
      <c r="E572" s="59" t="b">
        <v>0</v>
      </c>
      <c r="F572" s="59" t="s">
        <v>18</v>
      </c>
      <c r="G572" s="293"/>
      <c r="H572" s="294"/>
      <c r="I572" s="294"/>
      <c r="J572" s="294"/>
      <c r="K572" s="294"/>
      <c r="L572" s="294"/>
      <c r="M572" s="294"/>
      <c r="N572" s="294"/>
      <c r="O572" s="294"/>
      <c r="P572" s="294"/>
      <c r="Q572" s="294"/>
      <c r="R572" s="295"/>
      <c r="S572" s="73"/>
      <c r="T572" s="59"/>
      <c r="U572" s="59"/>
      <c r="V572" s="60"/>
    </row>
    <row r="573" spans="1:22" hidden="1">
      <c r="A573" s="61" t="b">
        <v>1</v>
      </c>
      <c r="B573" s="62" t="s">
        <v>21</v>
      </c>
      <c r="C573" s="62"/>
      <c r="D573" s="62" t="b">
        <v>1</v>
      </c>
      <c r="E573" s="62" t="b">
        <v>0</v>
      </c>
      <c r="F573" s="71" t="s">
        <v>22</v>
      </c>
      <c r="G573" s="54" t="s">
        <v>57</v>
      </c>
      <c r="H573" s="54"/>
      <c r="I573" s="54"/>
      <c r="J573" s="54"/>
      <c r="K573" s="54"/>
      <c r="L573" s="54"/>
      <c r="M573" s="54"/>
      <c r="N573" s="54"/>
      <c r="O573" s="54"/>
      <c r="P573" s="54"/>
      <c r="Q573" s="54"/>
      <c r="R573" s="54"/>
      <c r="S573" s="70"/>
      <c r="T573" s="71"/>
      <c r="U573" s="54"/>
      <c r="V573" s="63"/>
    </row>
    <row r="574" spans="1:22" hidden="1">
      <c r="A574" s="61" t="b">
        <v>0</v>
      </c>
      <c r="B574" s="62" t="s">
        <v>24</v>
      </c>
      <c r="C574" s="62"/>
      <c r="D574" s="62" t="b">
        <v>1</v>
      </c>
      <c r="E574" s="62" t="b">
        <v>0</v>
      </c>
      <c r="F574" s="71" t="s">
        <v>25</v>
      </c>
      <c r="G574" s="54">
        <v>1</v>
      </c>
      <c r="H574" s="54"/>
      <c r="I574" s="54"/>
      <c r="J574" s="54"/>
      <c r="K574" s="54"/>
      <c r="L574" s="54"/>
      <c r="M574" s="54"/>
      <c r="N574" s="54"/>
      <c r="O574" s="54"/>
      <c r="P574" s="54"/>
      <c r="Q574" s="54"/>
      <c r="R574" s="54"/>
      <c r="S574" s="70"/>
      <c r="T574" s="71"/>
      <c r="U574" s="54"/>
      <c r="V574" s="63"/>
    </row>
    <row r="575" spans="1:22" hidden="1">
      <c r="A575" s="61" t="b">
        <v>0</v>
      </c>
      <c r="B575" s="62" t="s">
        <v>26</v>
      </c>
      <c r="C575" s="62"/>
      <c r="D575" s="62" t="b">
        <v>1</v>
      </c>
      <c r="E575" s="62" t="b">
        <v>0</v>
      </c>
      <c r="F575" s="71" t="s">
        <v>27</v>
      </c>
      <c r="G575" s="54"/>
      <c r="H575" s="54"/>
      <c r="I575" s="54"/>
      <c r="J575" s="54"/>
      <c r="K575" s="54"/>
      <c r="L575" s="54"/>
      <c r="M575" s="54"/>
      <c r="N575" s="54"/>
      <c r="O575" s="54"/>
      <c r="P575" s="54"/>
      <c r="Q575" s="54"/>
      <c r="R575" s="54"/>
      <c r="S575" s="70"/>
      <c r="T575" s="71"/>
      <c r="U575" s="54"/>
      <c r="V575" s="63"/>
    </row>
    <row r="576" spans="1:22" hidden="1">
      <c r="A576" s="57" t="b">
        <v>1</v>
      </c>
      <c r="B576" s="57" t="s">
        <v>28</v>
      </c>
      <c r="C576" s="57"/>
      <c r="D576" s="57" t="b">
        <v>1</v>
      </c>
      <c r="E576" s="57" t="b">
        <v>0</v>
      </c>
      <c r="F576" s="56"/>
      <c r="G576" s="57" t="s">
        <v>960</v>
      </c>
      <c r="H576" s="57"/>
      <c r="I576" s="57"/>
      <c r="J576" s="57"/>
      <c r="K576" s="57"/>
      <c r="L576" s="57"/>
      <c r="M576" s="57"/>
      <c r="N576" s="57"/>
      <c r="O576" s="57"/>
      <c r="P576" s="57"/>
      <c r="Q576" s="57"/>
      <c r="R576" s="57"/>
      <c r="S576" s="72"/>
      <c r="T576" s="56"/>
      <c r="U576" s="57"/>
      <c r="V576" s="57"/>
    </row>
    <row r="577" spans="1:22" hidden="1">
      <c r="A577" s="59"/>
      <c r="B577" s="59" t="s">
        <v>31</v>
      </c>
      <c r="C577" s="59"/>
      <c r="D577" s="59" t="b">
        <v>1</v>
      </c>
      <c r="E577" s="59" t="b">
        <v>0</v>
      </c>
      <c r="F577" s="59" t="s">
        <v>32</v>
      </c>
      <c r="G577" s="59"/>
      <c r="H577" s="59"/>
      <c r="I577" s="59"/>
      <c r="J577" s="59"/>
      <c r="K577" s="59"/>
      <c r="L577" s="59"/>
      <c r="M577" s="59"/>
      <c r="N577" s="59"/>
      <c r="O577" s="59"/>
      <c r="P577" s="59"/>
      <c r="Q577" s="59"/>
      <c r="R577" s="59"/>
      <c r="S577" s="73" t="s">
        <v>121</v>
      </c>
      <c r="T577" s="59"/>
      <c r="U577" s="59"/>
      <c r="V577" s="59"/>
    </row>
    <row r="578" spans="1:22" ht="43.5">
      <c r="A578" s="61" t="b">
        <v>0</v>
      </c>
      <c r="B578" s="62" t="s">
        <v>961</v>
      </c>
      <c r="C578" s="62"/>
      <c r="D578" s="62" t="b">
        <v>1</v>
      </c>
      <c r="E578" s="62" t="b">
        <v>0</v>
      </c>
      <c r="F578" s="71" t="s">
        <v>962</v>
      </c>
      <c r="G578" s="335" t="s">
        <v>963</v>
      </c>
      <c r="H578" s="336"/>
      <c r="I578" s="336"/>
      <c r="J578" s="336"/>
      <c r="K578" s="336"/>
      <c r="L578" s="336"/>
      <c r="M578" s="336"/>
      <c r="N578" s="336"/>
      <c r="O578" s="336"/>
      <c r="P578" s="336"/>
      <c r="Q578" s="336"/>
      <c r="R578" s="337"/>
      <c r="S578" s="70" t="s">
        <v>963</v>
      </c>
      <c r="T578" s="71" t="s">
        <v>153</v>
      </c>
      <c r="U578" s="41" t="s">
        <v>127</v>
      </c>
      <c r="V578" s="63"/>
    </row>
    <row r="579" spans="1:22" ht="43.5">
      <c r="A579" s="61" t="b">
        <v>0</v>
      </c>
      <c r="B579" s="62" t="s">
        <v>961</v>
      </c>
      <c r="C579" s="62"/>
      <c r="D579" s="62" t="b">
        <v>1</v>
      </c>
      <c r="E579" s="62" t="b">
        <v>0</v>
      </c>
      <c r="F579" s="71" t="s">
        <v>962</v>
      </c>
      <c r="G579" s="335" t="s">
        <v>964</v>
      </c>
      <c r="H579" s="336"/>
      <c r="I579" s="336"/>
      <c r="J579" s="336"/>
      <c r="K579" s="336"/>
      <c r="L579" s="336"/>
      <c r="M579" s="336"/>
      <c r="N579" s="336"/>
      <c r="O579" s="336"/>
      <c r="P579" s="336"/>
      <c r="Q579" s="336"/>
      <c r="R579" s="337"/>
      <c r="S579" s="70" t="s">
        <v>965</v>
      </c>
      <c r="T579" s="71" t="s">
        <v>153</v>
      </c>
      <c r="U579" s="41" t="s">
        <v>127</v>
      </c>
      <c r="V579" s="63"/>
    </row>
    <row r="580" spans="1:22" ht="29">
      <c r="A580" s="61" t="b">
        <v>0</v>
      </c>
      <c r="B580" s="62" t="s">
        <v>966</v>
      </c>
      <c r="C580" s="62"/>
      <c r="D580" s="62" t="b">
        <v>1</v>
      </c>
      <c r="E580" s="62" t="b">
        <v>0</v>
      </c>
      <c r="F580" s="71" t="s">
        <v>967</v>
      </c>
      <c r="G580" s="335" t="s">
        <v>968</v>
      </c>
      <c r="H580" s="336"/>
      <c r="I580" s="336"/>
      <c r="J580" s="336"/>
      <c r="K580" s="336"/>
      <c r="L580" s="336"/>
      <c r="M580" s="336"/>
      <c r="N580" s="336"/>
      <c r="O580" s="336"/>
      <c r="P580" s="336"/>
      <c r="Q580" s="336"/>
      <c r="R580" s="337"/>
      <c r="S580" s="70" t="s">
        <v>969</v>
      </c>
      <c r="T580" s="71" t="s">
        <v>153</v>
      </c>
      <c r="U580" s="41" t="s">
        <v>127</v>
      </c>
      <c r="V580" s="63"/>
    </row>
    <row r="581" spans="1:22" ht="29">
      <c r="A581" s="61"/>
      <c r="B581" s="62"/>
      <c r="C581" s="62"/>
      <c r="D581" s="62" t="b">
        <v>1</v>
      </c>
      <c r="E581" s="62" t="b">
        <v>0</v>
      </c>
      <c r="F581" s="71" t="s">
        <v>967</v>
      </c>
      <c r="G581" s="335" t="s">
        <v>970</v>
      </c>
      <c r="H581" s="336"/>
      <c r="I581" s="336"/>
      <c r="J581" s="336"/>
      <c r="K581" s="336"/>
      <c r="L581" s="336"/>
      <c r="M581" s="336"/>
      <c r="N581" s="336"/>
      <c r="O581" s="336"/>
      <c r="P581" s="336"/>
      <c r="Q581" s="336"/>
      <c r="R581" s="337"/>
      <c r="S581" s="70" t="s">
        <v>971</v>
      </c>
      <c r="T581" s="71" t="s">
        <v>153</v>
      </c>
      <c r="U581" s="41" t="s">
        <v>127</v>
      </c>
      <c r="V581" s="63"/>
    </row>
    <row r="582" spans="1:22">
      <c r="A582" s="61"/>
      <c r="B582" s="62"/>
      <c r="C582" s="62"/>
      <c r="D582" s="62"/>
      <c r="E582" s="62"/>
      <c r="F582" s="190" t="s">
        <v>972</v>
      </c>
      <c r="G582" s="338" t="s">
        <v>973</v>
      </c>
      <c r="H582" s="339"/>
      <c r="I582" s="339"/>
      <c r="J582" s="339"/>
      <c r="K582" s="339"/>
      <c r="L582" s="339"/>
      <c r="M582" s="339"/>
      <c r="N582" s="339"/>
      <c r="O582" s="339"/>
      <c r="P582" s="339"/>
      <c r="Q582" s="339"/>
      <c r="R582" s="340"/>
      <c r="S582" s="70"/>
      <c r="T582" s="71" t="s">
        <v>153</v>
      </c>
      <c r="U582" s="41" t="s">
        <v>127</v>
      </c>
      <c r="V582" s="63"/>
    </row>
    <row r="583" spans="1:22">
      <c r="A583" s="61"/>
      <c r="B583" s="62"/>
      <c r="C583" s="62"/>
      <c r="D583" s="62"/>
      <c r="E583" s="62"/>
      <c r="F583" s="190" t="s">
        <v>972</v>
      </c>
      <c r="G583" s="338" t="s">
        <v>974</v>
      </c>
      <c r="H583" s="339"/>
      <c r="I583" s="339"/>
      <c r="J583" s="339"/>
      <c r="K583" s="339"/>
      <c r="L583" s="339"/>
      <c r="M583" s="339"/>
      <c r="N583" s="339"/>
      <c r="O583" s="339"/>
      <c r="P583" s="339"/>
      <c r="Q583" s="339"/>
      <c r="R583" s="340"/>
      <c r="S583" s="70"/>
      <c r="T583" s="71" t="s">
        <v>153</v>
      </c>
      <c r="U583" s="41" t="s">
        <v>127</v>
      </c>
      <c r="V583" s="63"/>
    </row>
    <row r="584" spans="1:22">
      <c r="A584" s="61"/>
      <c r="B584" s="62"/>
      <c r="C584" s="62"/>
      <c r="D584" s="62"/>
      <c r="E584" s="62"/>
      <c r="F584" s="190" t="s">
        <v>972</v>
      </c>
      <c r="G584" s="338" t="s">
        <v>975</v>
      </c>
      <c r="H584" s="339"/>
      <c r="I584" s="339"/>
      <c r="J584" s="339"/>
      <c r="K584" s="339"/>
      <c r="L584" s="339"/>
      <c r="M584" s="339"/>
      <c r="N584" s="339"/>
      <c r="O584" s="339"/>
      <c r="P584" s="339"/>
      <c r="Q584" s="339"/>
      <c r="R584" s="340"/>
      <c r="S584" s="70"/>
      <c r="T584" s="71" t="s">
        <v>153</v>
      </c>
      <c r="U584" s="41" t="s">
        <v>127</v>
      </c>
      <c r="V584" s="63"/>
    </row>
    <row r="585" spans="1:22">
      <c r="A585" s="61"/>
      <c r="B585" s="62"/>
      <c r="C585" s="62"/>
      <c r="D585" s="62"/>
      <c r="E585" s="62"/>
      <c r="F585" s="190" t="s">
        <v>972</v>
      </c>
      <c r="G585" s="338" t="s">
        <v>976</v>
      </c>
      <c r="H585" s="339"/>
      <c r="I585" s="339"/>
      <c r="J585" s="339"/>
      <c r="K585" s="339"/>
      <c r="L585" s="339"/>
      <c r="M585" s="339"/>
      <c r="N585" s="339"/>
      <c r="O585" s="339"/>
      <c r="P585" s="339"/>
      <c r="Q585" s="339"/>
      <c r="R585" s="340"/>
      <c r="S585" s="70"/>
      <c r="T585" s="71" t="s">
        <v>153</v>
      </c>
      <c r="U585" s="41" t="s">
        <v>127</v>
      </c>
      <c r="V585" s="63"/>
    </row>
    <row r="586" spans="1:22">
      <c r="A586" s="61"/>
      <c r="B586" s="62"/>
      <c r="C586" s="62"/>
      <c r="D586" s="62"/>
      <c r="E586" s="62"/>
      <c r="F586" s="190" t="s">
        <v>972</v>
      </c>
      <c r="G586" s="338" t="s">
        <v>977</v>
      </c>
      <c r="H586" s="339"/>
      <c r="I586" s="339"/>
      <c r="J586" s="339"/>
      <c r="K586" s="339"/>
      <c r="L586" s="339"/>
      <c r="M586" s="339"/>
      <c r="N586" s="339"/>
      <c r="O586" s="339"/>
      <c r="P586" s="339"/>
      <c r="Q586" s="339"/>
      <c r="R586" s="340"/>
      <c r="S586" s="70"/>
      <c r="T586" s="71" t="s">
        <v>153</v>
      </c>
      <c r="U586" s="41" t="s">
        <v>127</v>
      </c>
      <c r="V586" s="63"/>
    </row>
    <row r="587" spans="1:22">
      <c r="A587" s="61"/>
      <c r="B587" s="62"/>
      <c r="C587" s="62"/>
      <c r="D587" s="62"/>
      <c r="E587" s="62"/>
      <c r="F587" s="71" t="s">
        <v>34</v>
      </c>
      <c r="G587" s="305" t="s">
        <v>978</v>
      </c>
      <c r="H587" s="306"/>
      <c r="I587" s="306"/>
      <c r="J587" s="306"/>
      <c r="K587" s="306"/>
      <c r="L587" s="306"/>
      <c r="M587" s="306"/>
      <c r="N587" s="306"/>
      <c r="O587" s="306"/>
      <c r="P587" s="306"/>
      <c r="Q587" s="306"/>
      <c r="R587" s="307"/>
      <c r="S587" s="70"/>
      <c r="T587" s="71" t="s">
        <v>153</v>
      </c>
      <c r="U587" s="41" t="s">
        <v>20</v>
      </c>
      <c r="V587" s="63"/>
    </row>
    <row r="588" spans="1:22" ht="58">
      <c r="A588" s="61"/>
      <c r="B588" s="62"/>
      <c r="C588" s="62"/>
      <c r="D588" s="62"/>
      <c r="E588" s="62"/>
      <c r="F588" s="71" t="s">
        <v>979</v>
      </c>
      <c r="G588" s="335"/>
      <c r="H588" s="336"/>
      <c r="I588" s="336"/>
      <c r="J588" s="336"/>
      <c r="K588" s="336"/>
      <c r="L588" s="336"/>
      <c r="M588" s="336"/>
      <c r="N588" s="336"/>
      <c r="O588" s="336"/>
      <c r="P588" s="336"/>
      <c r="Q588" s="336"/>
      <c r="R588" s="337"/>
      <c r="S588" s="70" t="s">
        <v>980</v>
      </c>
      <c r="T588" s="71" t="s">
        <v>153</v>
      </c>
      <c r="U588" s="41" t="s">
        <v>20</v>
      </c>
      <c r="V588" s="63"/>
    </row>
    <row r="589" spans="1:22" ht="58">
      <c r="A589" s="61"/>
      <c r="B589" s="62"/>
      <c r="C589" s="62"/>
      <c r="D589" s="62"/>
      <c r="E589" s="62"/>
      <c r="F589" s="71" t="s">
        <v>981</v>
      </c>
      <c r="G589" s="335"/>
      <c r="H589" s="336"/>
      <c r="I589" s="336"/>
      <c r="J589" s="336"/>
      <c r="K589" s="336"/>
      <c r="L589" s="336"/>
      <c r="M589" s="336"/>
      <c r="N589" s="336"/>
      <c r="O589" s="336"/>
      <c r="P589" s="336"/>
      <c r="Q589" s="336"/>
      <c r="R589" s="337"/>
      <c r="S589" s="70" t="s">
        <v>982</v>
      </c>
      <c r="T589" s="71" t="s">
        <v>153</v>
      </c>
      <c r="U589" s="41" t="s">
        <v>20</v>
      </c>
      <c r="V589" s="63"/>
    </row>
    <row r="590" spans="1:22" ht="58">
      <c r="A590" s="61"/>
      <c r="B590" s="62"/>
      <c r="C590" s="62"/>
      <c r="D590" s="62"/>
      <c r="E590" s="62"/>
      <c r="F590" s="71" t="s">
        <v>983</v>
      </c>
      <c r="G590" s="335"/>
      <c r="H590" s="336"/>
      <c r="I590" s="336"/>
      <c r="J590" s="336"/>
      <c r="K590" s="336"/>
      <c r="L590" s="336"/>
      <c r="M590" s="336"/>
      <c r="N590" s="336"/>
      <c r="O590" s="336"/>
      <c r="P590" s="336"/>
      <c r="Q590" s="336"/>
      <c r="R590" s="337"/>
      <c r="S590" s="70" t="s">
        <v>984</v>
      </c>
      <c r="T590" s="71" t="s">
        <v>153</v>
      </c>
      <c r="U590" s="41" t="s">
        <v>20</v>
      </c>
      <c r="V590" s="63"/>
    </row>
    <row r="591" spans="1:22" ht="58">
      <c r="A591" s="61"/>
      <c r="B591" s="62"/>
      <c r="C591" s="62"/>
      <c r="D591" s="62"/>
      <c r="E591" s="62"/>
      <c r="F591" s="71" t="s">
        <v>985</v>
      </c>
      <c r="G591" s="335"/>
      <c r="H591" s="336"/>
      <c r="I591" s="336"/>
      <c r="J591" s="336"/>
      <c r="K591" s="336"/>
      <c r="L591" s="336"/>
      <c r="M591" s="336"/>
      <c r="N591" s="336"/>
      <c r="O591" s="336"/>
      <c r="P591" s="336"/>
      <c r="Q591" s="336"/>
      <c r="R591" s="337"/>
      <c r="S591" s="70" t="s">
        <v>986</v>
      </c>
      <c r="T591" s="71"/>
      <c r="U591" s="41"/>
      <c r="V591" s="63"/>
    </row>
    <row r="592" spans="1:22" ht="58">
      <c r="A592" s="61"/>
      <c r="B592" s="62"/>
      <c r="C592" s="62"/>
      <c r="D592" s="62"/>
      <c r="E592" s="62"/>
      <c r="F592" s="71" t="s">
        <v>987</v>
      </c>
      <c r="G592" s="335"/>
      <c r="H592" s="336"/>
      <c r="I592" s="336"/>
      <c r="J592" s="336"/>
      <c r="K592" s="336"/>
      <c r="L592" s="336"/>
      <c r="M592" s="336"/>
      <c r="N592" s="336"/>
      <c r="O592" s="336"/>
      <c r="P592" s="336"/>
      <c r="Q592" s="336"/>
      <c r="R592" s="337"/>
      <c r="S592" s="70" t="s">
        <v>988</v>
      </c>
      <c r="T592" s="71"/>
      <c r="U592" s="41"/>
      <c r="V592" s="63"/>
    </row>
    <row r="593" spans="1:22" ht="58">
      <c r="A593" s="61"/>
      <c r="B593" s="62"/>
      <c r="C593" s="62"/>
      <c r="D593" s="62"/>
      <c r="E593" s="62"/>
      <c r="F593" s="71" t="s">
        <v>989</v>
      </c>
      <c r="G593" s="335"/>
      <c r="H593" s="336"/>
      <c r="I593" s="336"/>
      <c r="J593" s="336"/>
      <c r="K593" s="336"/>
      <c r="L593" s="336"/>
      <c r="M593" s="336"/>
      <c r="N593" s="336"/>
      <c r="O593" s="336"/>
      <c r="P593" s="336"/>
      <c r="Q593" s="336"/>
      <c r="R593" s="337"/>
      <c r="S593" s="70" t="s">
        <v>990</v>
      </c>
      <c r="T593" s="71" t="s">
        <v>153</v>
      </c>
      <c r="U593" s="41" t="s">
        <v>20</v>
      </c>
      <c r="V593" s="63"/>
    </row>
    <row r="594" spans="1:22" ht="58">
      <c r="A594" s="61"/>
      <c r="B594" s="62"/>
      <c r="C594" s="62"/>
      <c r="D594" s="62"/>
      <c r="E594" s="62"/>
      <c r="F594" s="71" t="s">
        <v>991</v>
      </c>
      <c r="G594" s="335"/>
      <c r="H594" s="336"/>
      <c r="I594" s="336"/>
      <c r="J594" s="336"/>
      <c r="K594" s="336"/>
      <c r="L594" s="336"/>
      <c r="M594" s="336"/>
      <c r="N594" s="336"/>
      <c r="O594" s="336"/>
      <c r="P594" s="336"/>
      <c r="Q594" s="336"/>
      <c r="R594" s="337"/>
      <c r="S594" s="70" t="s">
        <v>992</v>
      </c>
      <c r="T594" s="71" t="s">
        <v>153</v>
      </c>
      <c r="U594" s="41" t="s">
        <v>20</v>
      </c>
      <c r="V594" s="63"/>
    </row>
    <row r="595" spans="1:22" ht="58">
      <c r="A595" s="61"/>
      <c r="B595" s="62"/>
      <c r="C595" s="62"/>
      <c r="D595" s="62"/>
      <c r="E595" s="62"/>
      <c r="F595" s="71" t="s">
        <v>993</v>
      </c>
      <c r="G595" s="335"/>
      <c r="H595" s="336"/>
      <c r="I595" s="336"/>
      <c r="J595" s="336"/>
      <c r="K595" s="336"/>
      <c r="L595" s="336"/>
      <c r="M595" s="336"/>
      <c r="N595" s="336"/>
      <c r="O595" s="336"/>
      <c r="P595" s="336"/>
      <c r="Q595" s="336"/>
      <c r="R595" s="337"/>
      <c r="S595" s="70" t="s">
        <v>994</v>
      </c>
      <c r="T595" s="71" t="s">
        <v>153</v>
      </c>
      <c r="U595" s="41" t="s">
        <v>20</v>
      </c>
      <c r="V595" s="63"/>
    </row>
    <row r="596" spans="1:22">
      <c r="A596" s="65"/>
      <c r="B596" s="65" t="s">
        <v>36</v>
      </c>
      <c r="C596" s="65"/>
      <c r="D596" s="65" t="b">
        <v>1</v>
      </c>
      <c r="E596" s="65" t="b">
        <v>0</v>
      </c>
      <c r="F596" s="65" t="s">
        <v>37</v>
      </c>
      <c r="G596" s="299"/>
      <c r="H596" s="300"/>
      <c r="I596" s="300"/>
      <c r="J596" s="300"/>
      <c r="K596" s="300"/>
      <c r="L596" s="300"/>
      <c r="M596" s="300"/>
      <c r="N596" s="300"/>
      <c r="O596" s="300"/>
      <c r="P596" s="300"/>
      <c r="Q596" s="300"/>
      <c r="R596" s="301"/>
      <c r="S596" s="152" t="s">
        <v>121</v>
      </c>
      <c r="T596" s="65"/>
      <c r="U596" s="65"/>
      <c r="V596" s="65"/>
    </row>
    <row r="597" spans="1:22" ht="29">
      <c r="A597" s="61" t="b">
        <v>0</v>
      </c>
      <c r="B597" s="62" t="s">
        <v>38</v>
      </c>
      <c r="C597" s="62"/>
      <c r="D597" s="62" t="b">
        <v>1</v>
      </c>
      <c r="E597" s="62" t="b">
        <v>0</v>
      </c>
      <c r="F597" s="71"/>
      <c r="G597" s="284"/>
      <c r="H597" s="285"/>
      <c r="I597" s="285"/>
      <c r="J597" s="285"/>
      <c r="K597" s="285"/>
      <c r="L597" s="285"/>
      <c r="M597" s="285"/>
      <c r="N597" s="285"/>
      <c r="O597" s="285"/>
      <c r="P597" s="285"/>
      <c r="Q597" s="285"/>
      <c r="R597" s="286"/>
      <c r="S597" s="70" t="s">
        <v>995</v>
      </c>
      <c r="T597" s="71" t="s">
        <v>160</v>
      </c>
      <c r="U597" s="41" t="s">
        <v>20</v>
      </c>
      <c r="V597" s="99" t="s">
        <v>161</v>
      </c>
    </row>
    <row r="598" spans="1:22" ht="29">
      <c r="A598" s="61" t="b">
        <v>0</v>
      </c>
      <c r="B598" s="62" t="s">
        <v>38</v>
      </c>
      <c r="C598" s="62"/>
      <c r="D598" s="62" t="b">
        <v>1</v>
      </c>
      <c r="E598" s="62" t="b">
        <v>0</v>
      </c>
      <c r="F598" s="71"/>
      <c r="G598" s="284"/>
      <c r="H598" s="285"/>
      <c r="I598" s="285"/>
      <c r="J598" s="285"/>
      <c r="K598" s="285"/>
      <c r="L598" s="285"/>
      <c r="M598" s="285"/>
      <c r="N598" s="285"/>
      <c r="O598" s="285"/>
      <c r="P598" s="285"/>
      <c r="Q598" s="285"/>
      <c r="R598" s="286"/>
      <c r="S598" s="70" t="s">
        <v>996</v>
      </c>
      <c r="T598" s="71" t="s">
        <v>160</v>
      </c>
      <c r="U598" s="41" t="s">
        <v>20</v>
      </c>
      <c r="V598" s="99" t="s">
        <v>161</v>
      </c>
    </row>
    <row r="599" spans="1:22">
      <c r="A599" s="61"/>
      <c r="B599" s="62"/>
      <c r="C599" s="62"/>
      <c r="D599" s="62"/>
      <c r="E599" s="62"/>
      <c r="F599" s="71"/>
      <c r="G599" s="284"/>
      <c r="H599" s="285"/>
      <c r="I599" s="285"/>
      <c r="J599" s="285"/>
      <c r="K599" s="285"/>
      <c r="L599" s="285"/>
      <c r="M599" s="285"/>
      <c r="N599" s="285"/>
      <c r="O599" s="285"/>
      <c r="P599" s="285"/>
      <c r="Q599" s="285"/>
      <c r="R599" s="286"/>
      <c r="S599" s="70" t="s">
        <v>997</v>
      </c>
      <c r="T599" s="71"/>
      <c r="U599" s="41"/>
      <c r="V599" s="99"/>
    </row>
    <row r="600" spans="1:22" ht="29">
      <c r="A600" s="61"/>
      <c r="B600" s="62"/>
      <c r="C600" s="62"/>
      <c r="D600" s="62"/>
      <c r="E600" s="62"/>
      <c r="F600" s="71"/>
      <c r="G600" s="284"/>
      <c r="H600" s="285"/>
      <c r="I600" s="285"/>
      <c r="J600" s="285"/>
      <c r="K600" s="285"/>
      <c r="L600" s="285"/>
      <c r="M600" s="285"/>
      <c r="N600" s="285"/>
      <c r="O600" s="285"/>
      <c r="P600" s="285"/>
      <c r="Q600" s="285"/>
      <c r="R600" s="286"/>
      <c r="S600" s="70" t="s">
        <v>998</v>
      </c>
      <c r="T600" s="71"/>
      <c r="U600" s="41"/>
      <c r="V600" s="99"/>
    </row>
    <row r="601" spans="1:22">
      <c r="A601" s="61"/>
      <c r="B601" s="62"/>
      <c r="C601" s="62"/>
      <c r="D601" s="62"/>
      <c r="E601" s="62"/>
      <c r="F601" s="71"/>
      <c r="G601" s="284"/>
      <c r="H601" s="285"/>
      <c r="I601" s="285"/>
      <c r="J601" s="285"/>
      <c r="K601" s="285"/>
      <c r="L601" s="285"/>
      <c r="M601" s="285"/>
      <c r="N601" s="285"/>
      <c r="O601" s="285"/>
      <c r="P601" s="285"/>
      <c r="Q601" s="285"/>
      <c r="R601" s="286"/>
      <c r="S601" s="70" t="s">
        <v>999</v>
      </c>
      <c r="T601" s="71"/>
      <c r="U601" s="41"/>
      <c r="V601" s="99"/>
    </row>
    <row r="602" spans="1:22">
      <c r="A602" s="61"/>
      <c r="B602" s="62"/>
      <c r="C602" s="62"/>
      <c r="D602" s="62"/>
      <c r="E602" s="62"/>
      <c r="F602" s="71"/>
      <c r="G602" s="284"/>
      <c r="H602" s="285"/>
      <c r="I602" s="285"/>
      <c r="J602" s="285"/>
      <c r="K602" s="285"/>
      <c r="L602" s="285"/>
      <c r="M602" s="285"/>
      <c r="N602" s="285"/>
      <c r="O602" s="285"/>
      <c r="P602" s="285"/>
      <c r="Q602" s="285"/>
      <c r="R602" s="286"/>
      <c r="S602" s="70" t="s">
        <v>1000</v>
      </c>
      <c r="T602" s="71"/>
      <c r="U602" s="41"/>
      <c r="V602" s="99"/>
    </row>
    <row r="603" spans="1:22" ht="29">
      <c r="A603" s="61"/>
      <c r="B603" s="62"/>
      <c r="C603" s="62"/>
      <c r="D603" s="62"/>
      <c r="E603" s="62"/>
      <c r="F603" s="71"/>
      <c r="G603" s="284"/>
      <c r="H603" s="285"/>
      <c r="I603" s="285"/>
      <c r="J603" s="285"/>
      <c r="K603" s="285"/>
      <c r="L603" s="285"/>
      <c r="M603" s="285"/>
      <c r="N603" s="285"/>
      <c r="O603" s="285"/>
      <c r="P603" s="285"/>
      <c r="Q603" s="285"/>
      <c r="R603" s="286"/>
      <c r="S603" s="70" t="s">
        <v>1001</v>
      </c>
      <c r="T603" s="71"/>
      <c r="U603" s="41"/>
      <c r="V603" s="99"/>
    </row>
    <row r="604" spans="1:22">
      <c r="A604" s="61"/>
      <c r="B604" s="62"/>
      <c r="C604" s="62"/>
      <c r="D604" s="62"/>
      <c r="E604" s="62"/>
      <c r="F604" s="71"/>
      <c r="G604" s="284"/>
      <c r="H604" s="285"/>
      <c r="I604" s="285"/>
      <c r="J604" s="285"/>
      <c r="K604" s="285"/>
      <c r="L604" s="285"/>
      <c r="M604" s="285"/>
      <c r="N604" s="285"/>
      <c r="O604" s="285"/>
      <c r="P604" s="285"/>
      <c r="Q604" s="285"/>
      <c r="R604" s="286"/>
      <c r="S604" s="70" t="s">
        <v>1002</v>
      </c>
      <c r="T604" s="71"/>
      <c r="U604" s="41"/>
      <c r="V604" s="99"/>
    </row>
    <row r="605" spans="1:22">
      <c r="A605" s="57" t="b">
        <v>1</v>
      </c>
      <c r="B605" s="57" t="s">
        <v>28</v>
      </c>
      <c r="C605" s="57"/>
      <c r="D605" s="57" t="b">
        <v>1</v>
      </c>
      <c r="E605" s="57" t="b">
        <v>0</v>
      </c>
      <c r="F605" s="56"/>
      <c r="G605" s="332" t="s">
        <v>1003</v>
      </c>
      <c r="H605" s="333"/>
      <c r="I605" s="333"/>
      <c r="J605" s="333"/>
      <c r="K605" s="333"/>
      <c r="L605" s="333"/>
      <c r="M605" s="333"/>
      <c r="N605" s="333"/>
      <c r="O605" s="333"/>
      <c r="P605" s="333"/>
      <c r="Q605" s="333"/>
      <c r="R605" s="334"/>
      <c r="S605" s="72"/>
      <c r="T605" s="56"/>
      <c r="U605" s="57"/>
      <c r="V605" s="57"/>
    </row>
    <row r="606" spans="1:22">
      <c r="A606" s="59"/>
      <c r="B606" s="59" t="s">
        <v>31</v>
      </c>
      <c r="C606" s="59"/>
      <c r="D606" s="59" t="b">
        <v>1</v>
      </c>
      <c r="E606" s="59" t="b">
        <v>0</v>
      </c>
      <c r="F606" s="59" t="s">
        <v>32</v>
      </c>
      <c r="G606" s="293"/>
      <c r="H606" s="294"/>
      <c r="I606" s="294"/>
      <c r="J606" s="294"/>
      <c r="K606" s="294"/>
      <c r="L606" s="294"/>
      <c r="M606" s="294"/>
      <c r="N606" s="294"/>
      <c r="O606" s="294"/>
      <c r="P606" s="294"/>
      <c r="Q606" s="294"/>
      <c r="R606" s="295"/>
      <c r="S606" s="73"/>
      <c r="T606" s="59"/>
      <c r="U606" s="59"/>
      <c r="V606" s="59"/>
    </row>
    <row r="607" spans="1:22" ht="43.5">
      <c r="A607" s="61" t="b">
        <v>0</v>
      </c>
      <c r="B607" s="62" t="s">
        <v>1004</v>
      </c>
      <c r="C607" s="62"/>
      <c r="D607" s="62" t="b">
        <v>1</v>
      </c>
      <c r="E607" s="62" t="b">
        <v>0</v>
      </c>
      <c r="F607" s="71" t="s">
        <v>1005</v>
      </c>
      <c r="G607" s="387"/>
      <c r="H607" s="388"/>
      <c r="I607" s="388"/>
      <c r="J607" s="388"/>
      <c r="K607" s="388"/>
      <c r="L607" s="388"/>
      <c r="M607" s="388"/>
      <c r="N607" s="388"/>
      <c r="O607" s="388"/>
      <c r="P607" s="388"/>
      <c r="Q607" s="388"/>
      <c r="R607" s="389"/>
      <c r="S607" s="70" t="s">
        <v>1006</v>
      </c>
      <c r="T607" s="71" t="s">
        <v>1007</v>
      </c>
      <c r="U607" s="41" t="s">
        <v>20</v>
      </c>
      <c r="V607" s="63"/>
    </row>
    <row r="608" spans="1:22" ht="29">
      <c r="A608" s="61" t="b">
        <v>0</v>
      </c>
      <c r="B608" s="62" t="s">
        <v>1008</v>
      </c>
      <c r="C608" s="62"/>
      <c r="D608" s="62" t="b">
        <v>1</v>
      </c>
      <c r="E608" s="62" t="b">
        <v>0</v>
      </c>
      <c r="F608" s="71" t="s">
        <v>1009</v>
      </c>
      <c r="G608" s="387"/>
      <c r="H608" s="388"/>
      <c r="I608" s="388"/>
      <c r="J608" s="388"/>
      <c r="K608" s="388"/>
      <c r="L608" s="388"/>
      <c r="M608" s="388"/>
      <c r="N608" s="388"/>
      <c r="O608" s="388"/>
      <c r="P608" s="388"/>
      <c r="Q608" s="388"/>
      <c r="R608" s="389"/>
      <c r="S608" s="70" t="s">
        <v>1010</v>
      </c>
      <c r="T608" s="71" t="s">
        <v>1007</v>
      </c>
      <c r="U608" s="41" t="s">
        <v>20</v>
      </c>
      <c r="V608" s="67" t="s">
        <v>1011</v>
      </c>
    </row>
    <row r="609" spans="1:22" ht="29">
      <c r="A609" s="61" t="b">
        <v>0</v>
      </c>
      <c r="B609" s="62" t="s">
        <v>1012</v>
      </c>
      <c r="C609" s="62"/>
      <c r="D609" s="62" t="b">
        <v>1</v>
      </c>
      <c r="E609" s="62" t="b">
        <v>0</v>
      </c>
      <c r="F609" s="71" t="s">
        <v>1013</v>
      </c>
      <c r="G609" s="387"/>
      <c r="H609" s="388"/>
      <c r="I609" s="388"/>
      <c r="J609" s="388"/>
      <c r="K609" s="388"/>
      <c r="L609" s="388"/>
      <c r="M609" s="388"/>
      <c r="N609" s="388"/>
      <c r="O609" s="388"/>
      <c r="P609" s="388"/>
      <c r="Q609" s="388"/>
      <c r="R609" s="389"/>
      <c r="S609" s="70">
        <v>2.5</v>
      </c>
      <c r="T609" s="71" t="s">
        <v>1007</v>
      </c>
      <c r="U609" s="41" t="s">
        <v>20</v>
      </c>
      <c r="V609" s="63"/>
    </row>
    <row r="610" spans="1:22" ht="43.5">
      <c r="A610" s="61" t="b">
        <v>0</v>
      </c>
      <c r="B610" s="62" t="s">
        <v>1014</v>
      </c>
      <c r="C610" s="62"/>
      <c r="D610" s="62" t="b">
        <v>1</v>
      </c>
      <c r="E610" s="62" t="b">
        <v>0</v>
      </c>
      <c r="F610" s="71" t="s">
        <v>1015</v>
      </c>
      <c r="G610" s="393"/>
      <c r="H610" s="394"/>
      <c r="I610" s="394"/>
      <c r="J610" s="394"/>
      <c r="K610" s="394"/>
      <c r="L610" s="394"/>
      <c r="M610" s="394"/>
      <c r="N610" s="394"/>
      <c r="O610" s="394"/>
      <c r="P610" s="394"/>
      <c r="Q610" s="394"/>
      <c r="R610" s="395"/>
      <c r="S610" s="70">
        <v>5.5</v>
      </c>
      <c r="T610" s="71" t="s">
        <v>1007</v>
      </c>
      <c r="U610" s="41" t="s">
        <v>20</v>
      </c>
      <c r="V610" s="63"/>
    </row>
    <row r="611" spans="1:22">
      <c r="A611" s="57"/>
      <c r="B611" s="57"/>
      <c r="C611" s="57"/>
      <c r="D611" s="57"/>
      <c r="E611" s="57"/>
      <c r="F611" s="72" t="s">
        <v>45</v>
      </c>
      <c r="G611" s="290"/>
      <c r="H611" s="291"/>
      <c r="I611" s="291"/>
      <c r="J611" s="291"/>
      <c r="K611" s="291"/>
      <c r="L611" s="291"/>
      <c r="M611" s="291"/>
      <c r="N611" s="291"/>
      <c r="O611" s="291"/>
      <c r="P611" s="291"/>
      <c r="Q611" s="291"/>
      <c r="R611" s="292"/>
      <c r="S611" s="72"/>
      <c r="T611" s="56"/>
      <c r="U611" s="57"/>
      <c r="V611" s="57"/>
    </row>
    <row r="612" spans="1:22">
      <c r="A612" s="59"/>
      <c r="B612" s="59"/>
      <c r="C612" s="59"/>
      <c r="D612" s="59"/>
      <c r="E612" s="59"/>
      <c r="F612" s="73" t="s">
        <v>46</v>
      </c>
      <c r="G612" s="293"/>
      <c r="H612" s="294"/>
      <c r="I612" s="294"/>
      <c r="J612" s="294"/>
      <c r="K612" s="294"/>
      <c r="L612" s="294"/>
      <c r="M612" s="294"/>
      <c r="N612" s="294"/>
      <c r="O612" s="294"/>
      <c r="P612" s="294"/>
      <c r="Q612" s="294"/>
      <c r="R612" s="295"/>
      <c r="S612" s="73"/>
      <c r="T612" s="59"/>
      <c r="U612" s="59"/>
      <c r="V612" s="59"/>
    </row>
    <row r="613" spans="1:22" ht="114.75" customHeight="1">
      <c r="A613" s="61" t="b">
        <v>0</v>
      </c>
      <c r="B613" s="62" t="s">
        <v>1016</v>
      </c>
      <c r="C613" s="62"/>
      <c r="D613" s="62" t="b">
        <v>1</v>
      </c>
      <c r="E613" s="62" t="b">
        <v>0</v>
      </c>
      <c r="F613" s="71" t="s">
        <v>1017</v>
      </c>
      <c r="G613" s="390"/>
      <c r="H613" s="391"/>
      <c r="I613" s="391"/>
      <c r="J613" s="391"/>
      <c r="K613" s="391"/>
      <c r="L613" s="391"/>
      <c r="M613" s="391"/>
      <c r="N613" s="391"/>
      <c r="O613" s="391"/>
      <c r="P613" s="391"/>
      <c r="Q613" s="391"/>
      <c r="R613" s="392"/>
      <c r="S613" s="70" t="s">
        <v>1018</v>
      </c>
      <c r="T613" s="71" t="s">
        <v>160</v>
      </c>
      <c r="U613" s="41" t="s">
        <v>20</v>
      </c>
      <c r="V613" s="63"/>
    </row>
    <row r="614" spans="1:22" ht="274.5" customHeight="1">
      <c r="A614" s="61" t="b">
        <v>0</v>
      </c>
      <c r="B614" s="62" t="s">
        <v>1019</v>
      </c>
      <c r="C614" s="62"/>
      <c r="D614" s="62" t="b">
        <v>1</v>
      </c>
      <c r="E614" s="62" t="b">
        <v>0</v>
      </c>
      <c r="F614" s="71" t="s">
        <v>1020</v>
      </c>
      <c r="G614" s="387"/>
      <c r="H614" s="388"/>
      <c r="I614" s="388"/>
      <c r="J614" s="388"/>
      <c r="K614" s="388"/>
      <c r="L614" s="388"/>
      <c r="M614" s="388"/>
      <c r="N614" s="388"/>
      <c r="O614" s="388"/>
      <c r="P614" s="388"/>
      <c r="Q614" s="388"/>
      <c r="R614" s="389"/>
      <c r="S614" s="70" t="s">
        <v>1021</v>
      </c>
      <c r="T614" s="71" t="s">
        <v>160</v>
      </c>
      <c r="U614" s="41" t="s">
        <v>20</v>
      </c>
      <c r="V614" s="63"/>
    </row>
  </sheetData>
  <mergeCells count="508">
    <mergeCell ref="G584:R584"/>
    <mergeCell ref="G585:R585"/>
    <mergeCell ref="G133:R133"/>
    <mergeCell ref="G134:R134"/>
    <mergeCell ref="G135:R135"/>
    <mergeCell ref="G136:R136"/>
    <mergeCell ref="G137:R137"/>
    <mergeCell ref="G138:R138"/>
    <mergeCell ref="G144:R144"/>
    <mergeCell ref="G582:R582"/>
    <mergeCell ref="G583:R583"/>
    <mergeCell ref="G484:R484"/>
    <mergeCell ref="G485:R485"/>
    <mergeCell ref="G486:R486"/>
    <mergeCell ref="G487:R487"/>
    <mergeCell ref="G469:R469"/>
    <mergeCell ref="G470:R470"/>
    <mergeCell ref="G471:R471"/>
    <mergeCell ref="G472:R472"/>
    <mergeCell ref="G476:R476"/>
    <mergeCell ref="G480:R480"/>
    <mergeCell ref="G483:R483"/>
    <mergeCell ref="G473:R473"/>
    <mergeCell ref="G474:R474"/>
    <mergeCell ref="G477:R477"/>
    <mergeCell ref="G478:R478"/>
    <mergeCell ref="G479:R479"/>
    <mergeCell ref="G481:R481"/>
    <mergeCell ref="G482:R482"/>
    <mergeCell ref="G455:R455"/>
    <mergeCell ref="G456:R456"/>
    <mergeCell ref="G457:R457"/>
    <mergeCell ref="G458:R458"/>
    <mergeCell ref="G459:R459"/>
    <mergeCell ref="G460:R460"/>
    <mergeCell ref="G461:R461"/>
    <mergeCell ref="G467:R467"/>
    <mergeCell ref="G468:R468"/>
    <mergeCell ref="G446:R446"/>
    <mergeCell ref="G447:R447"/>
    <mergeCell ref="G448:R448"/>
    <mergeCell ref="G449:R449"/>
    <mergeCell ref="G450:R450"/>
    <mergeCell ref="G451:R451"/>
    <mergeCell ref="G452:R452"/>
    <mergeCell ref="G453:R453"/>
    <mergeCell ref="G454:R454"/>
    <mergeCell ref="G437:R437"/>
    <mergeCell ref="G438:R438"/>
    <mergeCell ref="G439:R439"/>
    <mergeCell ref="G440:R440"/>
    <mergeCell ref="G441:R441"/>
    <mergeCell ref="G442:R442"/>
    <mergeCell ref="G443:R443"/>
    <mergeCell ref="G444:R444"/>
    <mergeCell ref="G445:R445"/>
    <mergeCell ref="G427:R427"/>
    <mergeCell ref="G428:R428"/>
    <mergeCell ref="G429:R429"/>
    <mergeCell ref="G431:R431"/>
    <mergeCell ref="G432:R432"/>
    <mergeCell ref="G433:R433"/>
    <mergeCell ref="G434:R434"/>
    <mergeCell ref="G435:R435"/>
    <mergeCell ref="G436:R436"/>
    <mergeCell ref="G430:R430"/>
    <mergeCell ref="G418:R418"/>
    <mergeCell ref="G419:R419"/>
    <mergeCell ref="G420:R420"/>
    <mergeCell ref="G421:R421"/>
    <mergeCell ref="G422:R422"/>
    <mergeCell ref="G423:R423"/>
    <mergeCell ref="G424:R424"/>
    <mergeCell ref="G425:R425"/>
    <mergeCell ref="G426:R426"/>
    <mergeCell ref="G399:R399"/>
    <mergeCell ref="G400:R400"/>
    <mergeCell ref="G401:R401"/>
    <mergeCell ref="G412:R412"/>
    <mergeCell ref="G413:R413"/>
    <mergeCell ref="G414:R414"/>
    <mergeCell ref="G415:R415"/>
    <mergeCell ref="G416:R416"/>
    <mergeCell ref="G417:R417"/>
    <mergeCell ref="G402:R402"/>
    <mergeCell ref="G403:R403"/>
    <mergeCell ref="G404:R404"/>
    <mergeCell ref="G405:R405"/>
    <mergeCell ref="G406:R406"/>
    <mergeCell ref="G407:R407"/>
    <mergeCell ref="G408:R408"/>
    <mergeCell ref="G409:R409"/>
    <mergeCell ref="G410:R410"/>
    <mergeCell ref="G411:R411"/>
    <mergeCell ref="G389:R389"/>
    <mergeCell ref="G390:R390"/>
    <mergeCell ref="G391:R391"/>
    <mergeCell ref="G393:R393"/>
    <mergeCell ref="G394:R394"/>
    <mergeCell ref="G395:R395"/>
    <mergeCell ref="G396:R396"/>
    <mergeCell ref="G397:R397"/>
    <mergeCell ref="G398:R398"/>
    <mergeCell ref="G392:R392"/>
    <mergeCell ref="G385:R385"/>
    <mergeCell ref="G386:R386"/>
    <mergeCell ref="G387:R387"/>
    <mergeCell ref="G388:R388"/>
    <mergeCell ref="G368:R368"/>
    <mergeCell ref="G369:R369"/>
    <mergeCell ref="G370:R370"/>
    <mergeCell ref="G371:R371"/>
    <mergeCell ref="G372:R372"/>
    <mergeCell ref="G373:R373"/>
    <mergeCell ref="G380:R380"/>
    <mergeCell ref="G381:R381"/>
    <mergeCell ref="G382:R382"/>
    <mergeCell ref="G379:R379"/>
    <mergeCell ref="G361:R361"/>
    <mergeCell ref="G362:R362"/>
    <mergeCell ref="G363:R363"/>
    <mergeCell ref="G364:R364"/>
    <mergeCell ref="G365:R365"/>
    <mergeCell ref="G366:R366"/>
    <mergeCell ref="G367:R367"/>
    <mergeCell ref="G383:R383"/>
    <mergeCell ref="G384:R384"/>
    <mergeCell ref="G35:R35"/>
    <mergeCell ref="G31:R31"/>
    <mergeCell ref="G312:R312"/>
    <mergeCell ref="G313:R313"/>
    <mergeCell ref="G314:R314"/>
    <mergeCell ref="G315:R315"/>
    <mergeCell ref="G316:R316"/>
    <mergeCell ref="G317:R317"/>
    <mergeCell ref="G319:R319"/>
    <mergeCell ref="G318:R318"/>
    <mergeCell ref="G76:R76"/>
    <mergeCell ref="G77:R77"/>
    <mergeCell ref="G78:R78"/>
    <mergeCell ref="G79:R79"/>
    <mergeCell ref="G80:R80"/>
    <mergeCell ref="G38:R38"/>
    <mergeCell ref="G39:R39"/>
    <mergeCell ref="G74:R74"/>
    <mergeCell ref="G75:R75"/>
    <mergeCell ref="G63:R63"/>
    <mergeCell ref="G64:R64"/>
    <mergeCell ref="G65:R65"/>
    <mergeCell ref="G66:R66"/>
    <mergeCell ref="G67:R67"/>
    <mergeCell ref="G1:S1"/>
    <mergeCell ref="G2:S2"/>
    <mergeCell ref="M49:N49"/>
    <mergeCell ref="O49:P49"/>
    <mergeCell ref="G21:R21"/>
    <mergeCell ref="G22:R22"/>
    <mergeCell ref="G23:R23"/>
    <mergeCell ref="G24:R24"/>
    <mergeCell ref="G25:R25"/>
    <mergeCell ref="G26:R26"/>
    <mergeCell ref="G27:R27"/>
    <mergeCell ref="G28:R28"/>
    <mergeCell ref="G29:R29"/>
    <mergeCell ref="G30:R30"/>
    <mergeCell ref="H41:R41"/>
    <mergeCell ref="G14:R14"/>
    <mergeCell ref="G13:H13"/>
    <mergeCell ref="G36:R36"/>
    <mergeCell ref="G37:R37"/>
    <mergeCell ref="H40:R40"/>
    <mergeCell ref="G19:R19"/>
    <mergeCell ref="G32:R32"/>
    <mergeCell ref="G33:R33"/>
    <mergeCell ref="G34:R34"/>
    <mergeCell ref="G68:R68"/>
    <mergeCell ref="G69:R69"/>
    <mergeCell ref="G70:R70"/>
    <mergeCell ref="G71:R71"/>
    <mergeCell ref="G72:R72"/>
    <mergeCell ref="G73:R73"/>
    <mergeCell ref="G90:R90"/>
    <mergeCell ref="G92:R92"/>
    <mergeCell ref="G93:R93"/>
    <mergeCell ref="G104:R104"/>
    <mergeCell ref="G102:R102"/>
    <mergeCell ref="G120:R120"/>
    <mergeCell ref="G121:R121"/>
    <mergeCell ref="G122:R122"/>
    <mergeCell ref="G113:R113"/>
    <mergeCell ref="G114:R114"/>
    <mergeCell ref="G115:R115"/>
    <mergeCell ref="G116:R116"/>
    <mergeCell ref="G117:R117"/>
    <mergeCell ref="G108:R108"/>
    <mergeCell ref="G109:R109"/>
    <mergeCell ref="G110:R110"/>
    <mergeCell ref="G111:R111"/>
    <mergeCell ref="G112:R112"/>
    <mergeCell ref="G94:R94"/>
    <mergeCell ref="G95:R95"/>
    <mergeCell ref="G81:R81"/>
    <mergeCell ref="G82:R82"/>
    <mergeCell ref="G83:R83"/>
    <mergeCell ref="G84:R84"/>
    <mergeCell ref="G85:R85"/>
    <mergeCell ref="G96:R96"/>
    <mergeCell ref="G97:R97"/>
    <mergeCell ref="G614:R614"/>
    <mergeCell ref="G613:R613"/>
    <mergeCell ref="G607:R607"/>
    <mergeCell ref="G610:R610"/>
    <mergeCell ref="G608:R608"/>
    <mergeCell ref="G609:R609"/>
    <mergeCell ref="G606:R606"/>
    <mergeCell ref="G612:R612"/>
    <mergeCell ref="G611:R611"/>
    <mergeCell ref="G605:R605"/>
    <mergeCell ref="G105:R105"/>
    <mergeCell ref="G106:R106"/>
    <mergeCell ref="G107:R107"/>
    <mergeCell ref="G320:R320"/>
    <mergeCell ref="G321:R321"/>
    <mergeCell ref="G322:R322"/>
    <mergeCell ref="G323:R323"/>
    <mergeCell ref="G324:R324"/>
    <mergeCell ref="G325:R325"/>
    <mergeCell ref="G326:R326"/>
    <mergeCell ref="G327:R327"/>
    <mergeCell ref="G142:R142"/>
    <mergeCell ref="G143:R143"/>
    <mergeCell ref="G147:R147"/>
    <mergeCell ref="G148:R148"/>
    <mergeCell ref="G149:R149"/>
    <mergeCell ref="G161:R161"/>
    <mergeCell ref="G132:R132"/>
    <mergeCell ref="G141:R141"/>
    <mergeCell ref="G118:R118"/>
    <mergeCell ref="G119:R119"/>
    <mergeCell ref="G359:R359"/>
    <mergeCell ref="G360:R360"/>
    <mergeCell ref="G163:R163"/>
    <mergeCell ref="G164:R164"/>
    <mergeCell ref="G155:R155"/>
    <mergeCell ref="G156:R156"/>
    <mergeCell ref="G157:R157"/>
    <mergeCell ref="G158:R158"/>
    <mergeCell ref="G159:R159"/>
    <mergeCell ref="G150:R150"/>
    <mergeCell ref="G151:R151"/>
    <mergeCell ref="G180:R180"/>
    <mergeCell ref="G152:R152"/>
    <mergeCell ref="G153:R153"/>
    <mergeCell ref="G154:R154"/>
    <mergeCell ref="G181:R181"/>
    <mergeCell ref="G182:R182"/>
    <mergeCell ref="G183:R183"/>
    <mergeCell ref="G123:R123"/>
    <mergeCell ref="G124:R124"/>
    <mergeCell ref="G125:R125"/>
    <mergeCell ref="G130:R130"/>
    <mergeCell ref="G175:R175"/>
    <mergeCell ref="G176:R176"/>
    <mergeCell ref="G177:R177"/>
    <mergeCell ref="G178:R178"/>
    <mergeCell ref="G179:R179"/>
    <mergeCell ref="G170:R170"/>
    <mergeCell ref="G171:R171"/>
    <mergeCell ref="G172:R172"/>
    <mergeCell ref="G173:R173"/>
    <mergeCell ref="G174:R174"/>
    <mergeCell ref="G165:R165"/>
    <mergeCell ref="G166:R166"/>
    <mergeCell ref="G167:R167"/>
    <mergeCell ref="G168:R168"/>
    <mergeCell ref="G169:R169"/>
    <mergeCell ref="G160:R160"/>
    <mergeCell ref="G162:R162"/>
    <mergeCell ref="G597:R597"/>
    <mergeCell ref="G598:R598"/>
    <mergeCell ref="G203:R203"/>
    <mergeCell ref="G204:R204"/>
    <mergeCell ref="G205:R205"/>
    <mergeCell ref="G206:R206"/>
    <mergeCell ref="G207:R207"/>
    <mergeCell ref="G208:R208"/>
    <mergeCell ref="G194:R194"/>
    <mergeCell ref="G195:R195"/>
    <mergeCell ref="G196:R196"/>
    <mergeCell ref="G202:R202"/>
    <mergeCell ref="G328:R328"/>
    <mergeCell ref="G329:R329"/>
    <mergeCell ref="G330:R330"/>
    <mergeCell ref="G331:R331"/>
    <mergeCell ref="G332:R332"/>
    <mergeCell ref="G333:R333"/>
    <mergeCell ref="G334:R334"/>
    <mergeCell ref="G340:R340"/>
    <mergeCell ref="G341:R341"/>
    <mergeCell ref="G342:R342"/>
    <mergeCell ref="G343:R343"/>
    <mergeCell ref="G344:R344"/>
    <mergeCell ref="G604:R604"/>
    <mergeCell ref="G596:R596"/>
    <mergeCell ref="G12:R12"/>
    <mergeCell ref="G4:R4"/>
    <mergeCell ref="G3:R3"/>
    <mergeCell ref="G5:R5"/>
    <mergeCell ref="G6:J6"/>
    <mergeCell ref="G42:R42"/>
    <mergeCell ref="G47:R47"/>
    <mergeCell ref="G187:R187"/>
    <mergeCell ref="G188:R188"/>
    <mergeCell ref="G189:R189"/>
    <mergeCell ref="G190:R190"/>
    <mergeCell ref="G191:R191"/>
    <mergeCell ref="G192:R192"/>
    <mergeCell ref="G193:R193"/>
    <mergeCell ref="G599:R599"/>
    <mergeCell ref="G600:R600"/>
    <mergeCell ref="G601:R601"/>
    <mergeCell ref="G602:R602"/>
    <mergeCell ref="G603:R603"/>
    <mergeCell ref="G184:R184"/>
    <mergeCell ref="G185:R185"/>
    <mergeCell ref="G186:R186"/>
    <mergeCell ref="G215:R215"/>
    <mergeCell ref="G216:R216"/>
    <mergeCell ref="G217:R217"/>
    <mergeCell ref="G218:R218"/>
    <mergeCell ref="G219:R219"/>
    <mergeCell ref="G209:R209"/>
    <mergeCell ref="G210:R210"/>
    <mergeCell ref="G211:R211"/>
    <mergeCell ref="G213:R213"/>
    <mergeCell ref="G214:R214"/>
    <mergeCell ref="G225:R225"/>
    <mergeCell ref="G226:R226"/>
    <mergeCell ref="G227:R227"/>
    <mergeCell ref="G228:R228"/>
    <mergeCell ref="G229:R229"/>
    <mergeCell ref="G220:R220"/>
    <mergeCell ref="G221:R221"/>
    <mergeCell ref="G222:R222"/>
    <mergeCell ref="G223:R223"/>
    <mergeCell ref="G224:R224"/>
    <mergeCell ref="G557:R557"/>
    <mergeCell ref="G558:R558"/>
    <mergeCell ref="G559:R559"/>
    <mergeCell ref="G565:R565"/>
    <mergeCell ref="G566:R566"/>
    <mergeCell ref="G230:R230"/>
    <mergeCell ref="G231:R231"/>
    <mergeCell ref="G237:R237"/>
    <mergeCell ref="G238:R238"/>
    <mergeCell ref="G239:R239"/>
    <mergeCell ref="G345:R345"/>
    <mergeCell ref="G346:R346"/>
    <mergeCell ref="G347:R347"/>
    <mergeCell ref="G348:R348"/>
    <mergeCell ref="G349:R349"/>
    <mergeCell ref="G350:R350"/>
    <mergeCell ref="G351:R351"/>
    <mergeCell ref="G352:R352"/>
    <mergeCell ref="G353:R353"/>
    <mergeCell ref="G354:R354"/>
    <mergeCell ref="G355:R355"/>
    <mergeCell ref="G356:R356"/>
    <mergeCell ref="G357:R357"/>
    <mergeCell ref="G358:R358"/>
    <mergeCell ref="G572:R572"/>
    <mergeCell ref="G578:R578"/>
    <mergeCell ref="G579:R579"/>
    <mergeCell ref="G580:R580"/>
    <mergeCell ref="G581:R581"/>
    <mergeCell ref="G567:R567"/>
    <mergeCell ref="G568:R568"/>
    <mergeCell ref="G569:R569"/>
    <mergeCell ref="G570:R570"/>
    <mergeCell ref="G571:R571"/>
    <mergeCell ref="G591:R591"/>
    <mergeCell ref="G592:R592"/>
    <mergeCell ref="G593:R593"/>
    <mergeCell ref="G594:R594"/>
    <mergeCell ref="G595:R595"/>
    <mergeCell ref="G586:R586"/>
    <mergeCell ref="G587:R587"/>
    <mergeCell ref="G588:R588"/>
    <mergeCell ref="G589:R589"/>
    <mergeCell ref="G590:R590"/>
    <mergeCell ref="G245:R245"/>
    <mergeCell ref="G246:R246"/>
    <mergeCell ref="G247:R247"/>
    <mergeCell ref="G248:R248"/>
    <mergeCell ref="G249:R249"/>
    <mergeCell ref="G240:R240"/>
    <mergeCell ref="G241:R241"/>
    <mergeCell ref="G242:R242"/>
    <mergeCell ref="G243:R243"/>
    <mergeCell ref="G244:R244"/>
    <mergeCell ref="G255:R255"/>
    <mergeCell ref="G256:R256"/>
    <mergeCell ref="G257:R257"/>
    <mergeCell ref="G258:R258"/>
    <mergeCell ref="G259:R259"/>
    <mergeCell ref="G250:R250"/>
    <mergeCell ref="G251:R251"/>
    <mergeCell ref="G252:R252"/>
    <mergeCell ref="G253:R253"/>
    <mergeCell ref="G254:R254"/>
    <mergeCell ref="G270:R270"/>
    <mergeCell ref="G271:R271"/>
    <mergeCell ref="G272:R272"/>
    <mergeCell ref="G273:R273"/>
    <mergeCell ref="G274:R274"/>
    <mergeCell ref="G260:R260"/>
    <mergeCell ref="G261:R261"/>
    <mergeCell ref="G262:R262"/>
    <mergeCell ref="G263:R263"/>
    <mergeCell ref="G269:R269"/>
    <mergeCell ref="G280:R280"/>
    <mergeCell ref="G281:R281"/>
    <mergeCell ref="G282:R282"/>
    <mergeCell ref="G283:R283"/>
    <mergeCell ref="G284:R284"/>
    <mergeCell ref="G275:R275"/>
    <mergeCell ref="G276:R276"/>
    <mergeCell ref="G277:R277"/>
    <mergeCell ref="G278:R278"/>
    <mergeCell ref="G279:R279"/>
    <mergeCell ref="G290:R290"/>
    <mergeCell ref="G291:R291"/>
    <mergeCell ref="G292:R292"/>
    <mergeCell ref="G293:R293"/>
    <mergeCell ref="G294:R294"/>
    <mergeCell ref="G285:R285"/>
    <mergeCell ref="G286:R286"/>
    <mergeCell ref="G287:R287"/>
    <mergeCell ref="G288:R288"/>
    <mergeCell ref="G289:R289"/>
    <mergeCell ref="G305:R305"/>
    <mergeCell ref="G303:R303"/>
    <mergeCell ref="G300:R300"/>
    <mergeCell ref="G301:R301"/>
    <mergeCell ref="G302:R302"/>
    <mergeCell ref="G304:R304"/>
    <mergeCell ref="G295:R295"/>
    <mergeCell ref="G296:R296"/>
    <mergeCell ref="G297:R297"/>
    <mergeCell ref="G298:R298"/>
    <mergeCell ref="G299:R299"/>
    <mergeCell ref="G488:R488"/>
    <mergeCell ref="G489:R489"/>
    <mergeCell ref="G490:R490"/>
    <mergeCell ref="G491:R491"/>
    <mergeCell ref="G492:R492"/>
    <mergeCell ref="G493:R493"/>
    <mergeCell ref="G494:R494"/>
    <mergeCell ref="G495:R495"/>
    <mergeCell ref="G496:R496"/>
    <mergeCell ref="G497:R497"/>
    <mergeCell ref="G498:R498"/>
    <mergeCell ref="G499:R499"/>
    <mergeCell ref="G505:R505"/>
    <mergeCell ref="G508:R508"/>
    <mergeCell ref="G506:R506"/>
    <mergeCell ref="G507:R507"/>
    <mergeCell ref="G509:R509"/>
    <mergeCell ref="G510:R510"/>
    <mergeCell ref="G518:R518"/>
    <mergeCell ref="G519:R519"/>
    <mergeCell ref="G520:R520"/>
    <mergeCell ref="G521:R521"/>
    <mergeCell ref="G522:R522"/>
    <mergeCell ref="G533:R533"/>
    <mergeCell ref="G512:R512"/>
    <mergeCell ref="G513:R513"/>
    <mergeCell ref="G511:R511"/>
    <mergeCell ref="G514:R514"/>
    <mergeCell ref="G515:R515"/>
    <mergeCell ref="G516:R516"/>
    <mergeCell ref="G528:R528"/>
    <mergeCell ref="G529:R529"/>
    <mergeCell ref="G530:R530"/>
    <mergeCell ref="G212:R212"/>
    <mergeCell ref="G145:R145"/>
    <mergeCell ref="G146:R146"/>
    <mergeCell ref="G556:R556"/>
    <mergeCell ref="G543:R543"/>
    <mergeCell ref="G544:R544"/>
    <mergeCell ref="G545:R545"/>
    <mergeCell ref="G546:R546"/>
    <mergeCell ref="G547:R547"/>
    <mergeCell ref="G553:R553"/>
    <mergeCell ref="G554:R554"/>
    <mergeCell ref="G555:R555"/>
    <mergeCell ref="G534:R534"/>
    <mergeCell ref="G535:R535"/>
    <mergeCell ref="G536:R536"/>
    <mergeCell ref="G538:R538"/>
    <mergeCell ref="G539:R539"/>
    <mergeCell ref="G540:R540"/>
    <mergeCell ref="G537:R537"/>
    <mergeCell ref="G541:R541"/>
    <mergeCell ref="G542:R542"/>
    <mergeCell ref="G531:R531"/>
    <mergeCell ref="G532:R532"/>
    <mergeCell ref="G517:R517"/>
  </mergeCells>
  <phoneticPr fontId="8" type="noConversion"/>
  <conditionalFormatting sqref="U202:U206 U188:U193 U324:U325 U317:U322 U247:U248 U250:U257 U270:U289 U148:U165 U425:U458 U311:U313 U167:U186 U505:U516 U34:U36 U132:U146 U209:U221">
    <cfRule type="cellIs" dxfId="192" priority="123" operator="equal">
      <formula>"Y"</formula>
    </cfRule>
  </conditionalFormatting>
  <conditionalFormatting sqref="U39">
    <cfRule type="cellIs" dxfId="191" priority="121" operator="equal">
      <formula>"Y"</formula>
    </cfRule>
  </conditionalFormatting>
  <conditionalFormatting sqref="U53:U58 U63:U69">
    <cfRule type="cellIs" dxfId="190" priority="120" operator="equal">
      <formula>"Y"</formula>
    </cfRule>
  </conditionalFormatting>
  <conditionalFormatting sqref="U75">
    <cfRule type="cellIs" dxfId="189" priority="119" operator="equal">
      <formula>"Y"</formula>
    </cfRule>
  </conditionalFormatting>
  <conditionalFormatting sqref="U291">
    <cfRule type="cellIs" dxfId="188" priority="111" operator="equal">
      <formula>"Y"</formula>
    </cfRule>
  </conditionalFormatting>
  <conditionalFormatting sqref="U297:U302">
    <cfRule type="cellIs" dxfId="187" priority="110" operator="equal">
      <formula>"Y"</formula>
    </cfRule>
  </conditionalFormatting>
  <conditionalFormatting sqref="U341:U342 U344:U345">
    <cfRule type="cellIs" dxfId="186" priority="107" operator="equal">
      <formula>"Y"</formula>
    </cfRule>
  </conditionalFormatting>
  <conditionalFormatting sqref="U369:U370">
    <cfRule type="cellIs" dxfId="185" priority="106" operator="equal">
      <formula>"Y"</formula>
    </cfRule>
  </conditionalFormatting>
  <conditionalFormatting sqref="U556">
    <cfRule type="cellIs" dxfId="184" priority="96" operator="equal">
      <formula>"Y"</formula>
    </cfRule>
  </conditionalFormatting>
  <conditionalFormatting sqref="U115:U117">
    <cfRule type="cellIs" dxfId="183" priority="90" operator="equal">
      <formula>"Y"</formula>
    </cfRule>
  </conditionalFormatting>
  <conditionalFormatting sqref="U607:U610">
    <cfRule type="cellIs" dxfId="182" priority="88" operator="equal">
      <formula>"Y"</formula>
    </cfRule>
  </conditionalFormatting>
  <conditionalFormatting sqref="U33">
    <cfRule type="cellIs" dxfId="181" priority="84" operator="equal">
      <formula>"Y"</formula>
    </cfRule>
  </conditionalFormatting>
  <conditionalFormatting sqref="U76 U82">
    <cfRule type="cellIs" dxfId="180" priority="83" operator="equal">
      <formula>"Y"</formula>
    </cfRule>
  </conditionalFormatting>
  <conditionalFormatting sqref="U92">
    <cfRule type="cellIs" dxfId="179" priority="82" operator="equal">
      <formula>"Y"</formula>
    </cfRule>
  </conditionalFormatting>
  <conditionalFormatting sqref="U104:U105 U110:U114">
    <cfRule type="cellIs" dxfId="178" priority="81" operator="equal">
      <formula>"Y"</formula>
    </cfRule>
  </conditionalFormatting>
  <conditionalFormatting sqref="U119">
    <cfRule type="cellIs" dxfId="177" priority="80" operator="equal">
      <formula>"Y"</formula>
    </cfRule>
  </conditionalFormatting>
  <conditionalFormatting sqref="U224:U226 U228">
    <cfRule type="cellIs" dxfId="176" priority="77" operator="equal">
      <formula>"Y"</formula>
    </cfRule>
  </conditionalFormatting>
  <conditionalFormatting sqref="U293:U296">
    <cfRule type="cellIs" dxfId="175" priority="74" operator="equal">
      <formula>"Y"</formula>
    </cfRule>
  </conditionalFormatting>
  <conditionalFormatting sqref="U327 U331">
    <cfRule type="cellIs" dxfId="174" priority="72" operator="equal">
      <formula>"Y"</formula>
    </cfRule>
  </conditionalFormatting>
  <conditionalFormatting sqref="U419:U423">
    <cfRule type="cellIs" dxfId="173" priority="71" operator="equal">
      <formula>"Y"</formula>
    </cfRule>
  </conditionalFormatting>
  <conditionalFormatting sqref="U467:U487">
    <cfRule type="cellIs" dxfId="172" priority="70" operator="equal">
      <formula>"Y"</formula>
    </cfRule>
  </conditionalFormatting>
  <conditionalFormatting sqref="U489:U490 U494:U496">
    <cfRule type="cellIs" dxfId="171" priority="69" operator="equal">
      <formula>"Y"</formula>
    </cfRule>
  </conditionalFormatting>
  <conditionalFormatting sqref="U518">
    <cfRule type="cellIs" dxfId="170" priority="68" operator="equal">
      <formula>"Y"</formula>
    </cfRule>
  </conditionalFormatting>
  <conditionalFormatting sqref="U528:U534 U537:U540">
    <cfRule type="cellIs" dxfId="169" priority="67" operator="equal">
      <formula>"Y"</formula>
    </cfRule>
  </conditionalFormatting>
  <conditionalFormatting sqref="U542:U543">
    <cfRule type="cellIs" dxfId="168" priority="66" operator="equal">
      <formula>"Y"</formula>
    </cfRule>
  </conditionalFormatting>
  <conditionalFormatting sqref="U553">
    <cfRule type="cellIs" dxfId="167" priority="65" operator="equal">
      <formula>"Y"</formula>
    </cfRule>
  </conditionalFormatting>
  <conditionalFormatting sqref="U555">
    <cfRule type="cellIs" dxfId="166" priority="64" operator="equal">
      <formula>"Y"</formula>
    </cfRule>
  </conditionalFormatting>
  <conditionalFormatting sqref="U565:U569">
    <cfRule type="cellIs" dxfId="165" priority="63" operator="equal">
      <formula>"Y"</formula>
    </cfRule>
  </conditionalFormatting>
  <conditionalFormatting sqref="U578:U594">
    <cfRule type="cellIs" dxfId="164" priority="62" operator="equal">
      <formula>"Y"</formula>
    </cfRule>
  </conditionalFormatting>
  <conditionalFormatting sqref="U595">
    <cfRule type="cellIs" dxfId="163" priority="61" operator="equal">
      <formula>"Y"</formula>
    </cfRule>
  </conditionalFormatting>
  <conditionalFormatting sqref="U598:U604">
    <cfRule type="cellIs" dxfId="162" priority="60" operator="equal">
      <formula>"Y"</formula>
    </cfRule>
  </conditionalFormatting>
  <conditionalFormatting sqref="U269">
    <cfRule type="cellIs" dxfId="161" priority="59" operator="equal">
      <formula>"Y"</formula>
    </cfRule>
  </conditionalFormatting>
  <conditionalFormatting sqref="U613:U614">
    <cfRule type="cellIs" dxfId="160" priority="57" operator="equal">
      <formula>"Y"</formula>
    </cfRule>
  </conditionalFormatting>
  <conditionalFormatting sqref="U260">
    <cfRule type="cellIs" dxfId="159" priority="56" operator="equal">
      <formula>"Y"</formula>
    </cfRule>
  </conditionalFormatting>
  <conditionalFormatting sqref="U94">
    <cfRule type="cellIs" dxfId="158" priority="55" operator="equal">
      <formula>"Y"</formula>
    </cfRule>
  </conditionalFormatting>
  <conditionalFormatting sqref="U147">
    <cfRule type="cellIs" dxfId="157" priority="54" operator="equal">
      <formula>"Y"</formula>
    </cfRule>
  </conditionalFormatting>
  <conditionalFormatting sqref="U323">
    <cfRule type="cellIs" dxfId="156" priority="53" operator="equal">
      <formula>"Y"</formula>
    </cfRule>
  </conditionalFormatting>
  <conditionalFormatting sqref="U519">
    <cfRule type="cellIs" dxfId="155" priority="52" operator="equal">
      <formula>"Y"</formula>
    </cfRule>
  </conditionalFormatting>
  <conditionalFormatting sqref="U544">
    <cfRule type="cellIs" dxfId="154" priority="51" operator="equal">
      <formula>"Y"</formula>
    </cfRule>
  </conditionalFormatting>
  <conditionalFormatting sqref="U491:U493">
    <cfRule type="cellIs" dxfId="153" priority="50" operator="equal">
      <formula>"Y"</formula>
    </cfRule>
  </conditionalFormatting>
  <conditionalFormatting sqref="U330">
    <cfRule type="cellIs" dxfId="152" priority="49" operator="equal">
      <formula>"Y"</formula>
    </cfRule>
  </conditionalFormatting>
  <conditionalFormatting sqref="U28">
    <cfRule type="cellIs" dxfId="151" priority="48" operator="equal">
      <formula>"Y"</formula>
    </cfRule>
  </conditionalFormatting>
  <conditionalFormatting sqref="U59">
    <cfRule type="cellIs" dxfId="150" priority="46" operator="equal">
      <formula>"Y"</formula>
    </cfRule>
  </conditionalFormatting>
  <conditionalFormatting sqref="U70">
    <cfRule type="cellIs" dxfId="149" priority="45" operator="equal">
      <formula>"Y"</formula>
    </cfRule>
  </conditionalFormatting>
  <conditionalFormatting sqref="U77:U81">
    <cfRule type="cellIs" dxfId="148" priority="44" operator="equal">
      <formula>"Y"</formula>
    </cfRule>
  </conditionalFormatting>
  <conditionalFormatting sqref="U106">
    <cfRule type="cellIs" dxfId="147" priority="43" operator="equal">
      <formula>"Y"</formula>
    </cfRule>
  </conditionalFormatting>
  <conditionalFormatting sqref="U107:U108">
    <cfRule type="cellIs" dxfId="146" priority="42" operator="equal">
      <formula>"Y"</formula>
    </cfRule>
  </conditionalFormatting>
  <conditionalFormatting sqref="U120:U122">
    <cfRule type="cellIs" dxfId="145" priority="41" operator="equal">
      <formula>"Y"</formula>
    </cfRule>
  </conditionalFormatting>
  <conditionalFormatting sqref="U207:U208">
    <cfRule type="cellIs" dxfId="144" priority="40" operator="equal">
      <formula>"Y"</formula>
    </cfRule>
  </conditionalFormatting>
  <conditionalFormatting sqref="U222">
    <cfRule type="cellIs" dxfId="143" priority="39" operator="equal">
      <formula>"Y"</formula>
    </cfRule>
  </conditionalFormatting>
  <conditionalFormatting sqref="U227">
    <cfRule type="cellIs" dxfId="142" priority="38" operator="equal">
      <formula>"Y"</formula>
    </cfRule>
  </conditionalFormatting>
  <conditionalFormatting sqref="U328:U329">
    <cfRule type="cellIs" dxfId="141" priority="37" operator="equal">
      <formula>"Y"</formula>
    </cfRule>
  </conditionalFormatting>
  <conditionalFormatting sqref="U314:U316">
    <cfRule type="cellIs" dxfId="140" priority="36" operator="equal">
      <formula>"Y"</formula>
    </cfRule>
  </conditionalFormatting>
  <conditionalFormatting sqref="U290">
    <cfRule type="cellIs" dxfId="139" priority="35" operator="equal">
      <formula>"Y"</formula>
    </cfRule>
  </conditionalFormatting>
  <conditionalFormatting sqref="U535:U536">
    <cfRule type="cellIs" dxfId="138" priority="34" operator="equal">
      <formula>"Y"</formula>
    </cfRule>
  </conditionalFormatting>
  <conditionalFormatting sqref="U238 U240 U242 U244 U246">
    <cfRule type="cellIs" dxfId="137" priority="33" operator="equal">
      <formula>"Y"</formula>
    </cfRule>
  </conditionalFormatting>
  <conditionalFormatting sqref="U249">
    <cfRule type="cellIs" dxfId="136" priority="30" operator="equal">
      <formula>"Y"</formula>
    </cfRule>
  </conditionalFormatting>
  <conditionalFormatting sqref="U343">
    <cfRule type="cellIs" dxfId="135" priority="29" operator="equal">
      <formula>"Y"</formula>
    </cfRule>
  </conditionalFormatting>
  <conditionalFormatting sqref="U348:U367">
    <cfRule type="cellIs" dxfId="134" priority="28" operator="equal">
      <formula>"Y"</formula>
    </cfRule>
  </conditionalFormatting>
  <conditionalFormatting sqref="U346:U347">
    <cfRule type="cellIs" dxfId="133" priority="27" operator="equal">
      <formula>"Y"</formula>
    </cfRule>
  </conditionalFormatting>
  <conditionalFormatting sqref="U597">
    <cfRule type="cellIs" dxfId="132" priority="26" operator="equal">
      <formula>"Y"</formula>
    </cfRule>
  </conditionalFormatting>
  <conditionalFormatting sqref="U29:U30">
    <cfRule type="cellIs" dxfId="131" priority="25" operator="equal">
      <formula>"Y"</formula>
    </cfRule>
  </conditionalFormatting>
  <conditionalFormatting sqref="U60:U62">
    <cfRule type="cellIs" dxfId="130" priority="24" operator="equal">
      <formula>"Y"</formula>
    </cfRule>
  </conditionalFormatting>
  <conditionalFormatting sqref="U71:U73">
    <cfRule type="cellIs" dxfId="129" priority="23" operator="equal">
      <formula>"Y"</formula>
    </cfRule>
  </conditionalFormatting>
  <conditionalFormatting sqref="U109">
    <cfRule type="cellIs" dxfId="128" priority="22" operator="equal">
      <formula>"Y"</formula>
    </cfRule>
  </conditionalFormatting>
  <conditionalFormatting sqref="U31">
    <cfRule type="cellIs" dxfId="127" priority="20" operator="equal">
      <formula>"Y"</formula>
    </cfRule>
  </conditionalFormatting>
  <conditionalFormatting sqref="U379:U418">
    <cfRule type="cellIs" dxfId="126" priority="19" operator="equal">
      <formula>"Y"</formula>
    </cfRule>
  </conditionalFormatting>
  <conditionalFormatting sqref="U19">
    <cfRule type="cellIs" dxfId="125" priority="18" operator="equal">
      <formula>"Y"</formula>
    </cfRule>
  </conditionalFormatting>
  <conditionalFormatting sqref="U47">
    <cfRule type="cellIs" dxfId="124" priority="17" operator="equal">
      <formula>"Y"</formula>
    </cfRule>
  </conditionalFormatting>
  <conditionalFormatting sqref="U90">
    <cfRule type="cellIs" dxfId="123" priority="16" operator="equal">
      <formula>"Y"</formula>
    </cfRule>
  </conditionalFormatting>
  <conditionalFormatting sqref="U102">
    <cfRule type="cellIs" dxfId="122" priority="15" operator="equal">
      <formula>"Y"</formula>
    </cfRule>
  </conditionalFormatting>
  <conditionalFormatting sqref="U130">
    <cfRule type="cellIs" dxfId="121" priority="14" operator="equal">
      <formula>"Y"</formula>
    </cfRule>
  </conditionalFormatting>
  <conditionalFormatting sqref="U196">
    <cfRule type="cellIs" dxfId="120" priority="13" operator="equal">
      <formula>"Y"</formula>
    </cfRule>
  </conditionalFormatting>
  <conditionalFormatting sqref="U237 U239 U241 U243 U245">
    <cfRule type="cellIs" dxfId="119" priority="12" operator="equal">
      <formula>"Y"</formula>
    </cfRule>
  </conditionalFormatting>
  <conditionalFormatting sqref="U263">
    <cfRule type="cellIs" dxfId="118" priority="11" operator="equal">
      <formula>"Y"</formula>
    </cfRule>
  </conditionalFormatting>
  <conditionalFormatting sqref="U340">
    <cfRule type="cellIs" dxfId="117" priority="10" operator="equal">
      <formula>"Y"</formula>
    </cfRule>
  </conditionalFormatting>
  <conditionalFormatting sqref="U373">
    <cfRule type="cellIs" dxfId="116" priority="9" operator="equal">
      <formula>"Y"</formula>
    </cfRule>
  </conditionalFormatting>
  <conditionalFormatting sqref="U461">
    <cfRule type="cellIs" dxfId="115" priority="8" operator="equal">
      <formula>"Y"</formula>
    </cfRule>
  </conditionalFormatting>
  <conditionalFormatting sqref="U499">
    <cfRule type="cellIs" dxfId="114" priority="7" operator="equal">
      <formula>"Y"</formula>
    </cfRule>
  </conditionalFormatting>
  <conditionalFormatting sqref="U522">
    <cfRule type="cellIs" dxfId="113" priority="6" operator="equal">
      <formula>"Y"</formula>
    </cfRule>
  </conditionalFormatting>
  <conditionalFormatting sqref="U259">
    <cfRule type="cellIs" dxfId="112" priority="4" operator="equal">
      <formula>"Y"</formula>
    </cfRule>
  </conditionalFormatting>
  <conditionalFormatting sqref="U49:U52">
    <cfRule type="cellIs" dxfId="111" priority="3" operator="equal">
      <formula>"Y"</formula>
    </cfRule>
  </conditionalFormatting>
  <conditionalFormatting sqref="U37">
    <cfRule type="cellIs" dxfId="110" priority="2" operator="equal">
      <formula>"Y"</formula>
    </cfRule>
  </conditionalFormatting>
  <conditionalFormatting sqref="U21:U27">
    <cfRule type="cellIs" dxfId="109" priority="1" operator="equal">
      <formula>"Y"</formula>
    </cfRule>
  </conditionalFormatting>
  <dataValidations count="3">
    <dataValidation type="list" allowBlank="1" showInputMessage="1" showErrorMessage="1" sqref="C2:E2 G2:R2" xr:uid="{00000000-0002-0000-0800-000000000000}">
      <formula1>SectionNames</formula1>
    </dataValidation>
    <dataValidation type="list" allowBlank="1" showInputMessage="1" showErrorMessage="1" sqref="G18:R18 G10:R10 G46:R46 G89:R89 G101:R101 G129:R129" xr:uid="{00000000-0002-0000-0800-000001000000}">
      <formula1>"None,Numbered,Bullets"</formula1>
    </dataValidation>
    <dataValidation type="list" allowBlank="1" showInputMessage="1" showErrorMessage="1" sqref="G15:R15 G7:R7 G43:R43 G86:R86 G98:R98 G126:R126 G197:R197 G232:R232 G264:R264 G306:R306 G335:R335 G374:R374 G462:R462 G500:R500 G523:R523 G548:R548 G560:R560 G573:R573" xr:uid="{00000000-0002-0000-0800-000002000000}">
      <formula1>TableTypeNames</formula1>
    </dataValidation>
  </dataValidations>
  <hyperlinks>
    <hyperlink ref="G425" r:id="rId1" display="http://www.hp.com/smart-support" xr:uid="{D9D60009-41A8-4526-B43B-15F635FE6129}"/>
    <hyperlink ref="G429" r:id="rId2" display="http://www8.hp.com/us/en/ads/clientmanagement/overview.html" xr:uid="{00DCD151-F70C-40C1-892E-E07BBA87E0BC}"/>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9"/>
  </sheetPr>
  <dimension ref="A1:K91"/>
  <sheetViews>
    <sheetView topLeftCell="F52" zoomScaleNormal="100" workbookViewId="0">
      <selection activeCell="J103" sqref="J103"/>
    </sheetView>
  </sheetViews>
  <sheetFormatPr defaultRowHeight="14.5"/>
  <cols>
    <col min="1" max="1" width="18.54296875" hidden="1" customWidth="1"/>
    <col min="2" max="2" width="21.453125" hidden="1" customWidth="1"/>
    <col min="3" max="3" width="18.54296875" hidden="1" customWidth="1"/>
    <col min="4" max="5" width="12.453125" hidden="1" customWidth="1"/>
    <col min="6" max="6" width="21" customWidth="1"/>
    <col min="7" max="7" width="51.1796875" customWidth="1"/>
    <col min="8" max="8" width="52.81640625" customWidth="1"/>
    <col min="9" max="9" width="19" customWidth="1"/>
    <col min="10" max="10" width="12.54296875" customWidth="1"/>
    <col min="11" max="11" width="37.1796875" customWidth="1"/>
    <col min="12" max="12" width="42.453125" customWidth="1"/>
  </cols>
  <sheetData>
    <row r="1" spans="1:11">
      <c r="C1" s="18"/>
      <c r="D1" s="18"/>
      <c r="E1" s="18"/>
      <c r="F1" s="8" t="s">
        <v>1</v>
      </c>
      <c r="G1" s="454" t="str">
        <f>IF(Metadata!B1="","No series name entered",Metadata!B1)</f>
        <v>HP EliteBook 865 164 inch G10 Notebook PC</v>
      </c>
      <c r="H1" s="454"/>
    </row>
    <row r="2" spans="1:11">
      <c r="F2" s="12" t="s">
        <v>2</v>
      </c>
      <c r="G2" s="272" t="s">
        <v>56</v>
      </c>
      <c r="H2" s="272"/>
    </row>
    <row r="3" spans="1:11">
      <c r="F3" s="12" t="s">
        <v>43</v>
      </c>
      <c r="G3" s="1" t="str">
        <f>Metadata!B2</f>
        <v>Lox16</v>
      </c>
    </row>
    <row r="4" spans="1:11" ht="29">
      <c r="A4" s="8" t="s">
        <v>4</v>
      </c>
      <c r="B4" s="8" t="s">
        <v>5</v>
      </c>
      <c r="C4" s="8" t="s">
        <v>6</v>
      </c>
      <c r="D4" s="8" t="s">
        <v>113</v>
      </c>
      <c r="E4" s="8" t="s">
        <v>8</v>
      </c>
      <c r="F4" s="8" t="s">
        <v>9</v>
      </c>
      <c r="G4" s="8" t="s">
        <v>10</v>
      </c>
      <c r="H4" s="8" t="s">
        <v>1022</v>
      </c>
      <c r="I4" s="8" t="s">
        <v>12</v>
      </c>
      <c r="J4" s="16" t="s">
        <v>13</v>
      </c>
      <c r="K4" s="8" t="s">
        <v>14</v>
      </c>
    </row>
    <row r="5" spans="1:11">
      <c r="A5" s="9"/>
      <c r="B5" s="10" t="s">
        <v>15</v>
      </c>
      <c r="C5" s="10"/>
      <c r="D5" s="10" t="b">
        <v>0</v>
      </c>
      <c r="E5" s="10" t="b">
        <v>1</v>
      </c>
      <c r="F5" s="11" t="s">
        <v>16</v>
      </c>
      <c r="G5" s="11"/>
      <c r="H5" s="11"/>
      <c r="I5" s="11"/>
      <c r="J5" s="11"/>
      <c r="K5" s="11"/>
    </row>
    <row r="6" spans="1:11">
      <c r="A6" s="13"/>
      <c r="B6" s="14" t="s">
        <v>17</v>
      </c>
      <c r="C6" s="14"/>
      <c r="D6" s="14" t="b">
        <v>0</v>
      </c>
      <c r="E6" s="14" t="b">
        <v>1</v>
      </c>
      <c r="F6" s="15" t="s">
        <v>18</v>
      </c>
      <c r="G6" s="15" t="s">
        <v>1023</v>
      </c>
      <c r="H6" s="15"/>
      <c r="I6" s="15"/>
      <c r="J6" s="15"/>
      <c r="K6" s="15"/>
    </row>
    <row r="7" spans="1:11" hidden="1">
      <c r="A7" s="5" t="b">
        <v>1</v>
      </c>
      <c r="B7" s="6" t="s">
        <v>21</v>
      </c>
      <c r="C7" s="6"/>
      <c r="D7" s="6" t="b">
        <v>0</v>
      </c>
      <c r="E7" s="6" t="b">
        <v>1</v>
      </c>
      <c r="F7" s="1" t="s">
        <v>22</v>
      </c>
      <c r="G7" s="1" t="s">
        <v>23</v>
      </c>
      <c r="H7" s="23"/>
      <c r="I7" s="1"/>
      <c r="J7" s="1"/>
      <c r="K7" s="23"/>
    </row>
    <row r="8" spans="1:11" hidden="1">
      <c r="A8" s="5" t="b">
        <v>0</v>
      </c>
      <c r="B8" s="6" t="s">
        <v>24</v>
      </c>
      <c r="C8" s="6"/>
      <c r="D8" s="6" t="b">
        <v>0</v>
      </c>
      <c r="E8" s="6" t="b">
        <v>1</v>
      </c>
      <c r="F8" s="1" t="s">
        <v>25</v>
      </c>
      <c r="G8" s="1">
        <v>1</v>
      </c>
      <c r="H8" s="23"/>
      <c r="I8" s="1"/>
      <c r="J8" s="1"/>
      <c r="K8" s="23"/>
    </row>
    <row r="9" spans="1:11" hidden="1">
      <c r="A9" s="5" t="b">
        <v>0</v>
      </c>
      <c r="B9" s="6" t="s">
        <v>26</v>
      </c>
      <c r="C9" s="6"/>
      <c r="D9" s="6" t="b">
        <v>0</v>
      </c>
      <c r="E9" s="6" t="b">
        <v>1</v>
      </c>
      <c r="F9" s="1" t="s">
        <v>27</v>
      </c>
      <c r="G9" s="1" t="s">
        <v>1024</v>
      </c>
      <c r="H9" s="23"/>
      <c r="I9" s="1"/>
      <c r="J9" s="1"/>
      <c r="K9" s="23"/>
    </row>
    <row r="10" spans="1:11" hidden="1">
      <c r="A10" s="5" t="b">
        <v>1</v>
      </c>
      <c r="B10" s="6" t="s">
        <v>28</v>
      </c>
      <c r="C10" s="6"/>
      <c r="D10" s="6" t="b">
        <v>0</v>
      </c>
      <c r="E10" s="6" t="b">
        <v>1</v>
      </c>
      <c r="F10" s="1" t="s">
        <v>29</v>
      </c>
      <c r="G10" s="1" t="s">
        <v>1025</v>
      </c>
      <c r="H10" s="23"/>
      <c r="I10" s="1"/>
      <c r="J10" s="1"/>
      <c r="K10" s="23"/>
    </row>
    <row r="11" spans="1:11" hidden="1">
      <c r="A11" s="3"/>
      <c r="B11" s="4" t="s">
        <v>31</v>
      </c>
      <c r="C11" s="4"/>
      <c r="D11" s="4" t="b">
        <v>0</v>
      </c>
      <c r="E11" s="4" t="b">
        <v>1</v>
      </c>
      <c r="F11" s="7" t="s">
        <v>32</v>
      </c>
      <c r="G11" s="7"/>
      <c r="H11" s="23"/>
      <c r="I11" s="7"/>
      <c r="J11" s="7"/>
      <c r="K11" s="7"/>
    </row>
    <row r="12" spans="1:11">
      <c r="A12" s="5" t="b">
        <v>0</v>
      </c>
      <c r="B12" s="6" t="s">
        <v>33</v>
      </c>
      <c r="C12" s="6"/>
      <c r="D12" s="6" t="b">
        <v>0</v>
      </c>
      <c r="E12" s="6" t="b">
        <v>1</v>
      </c>
      <c r="F12" s="1" t="s">
        <v>34</v>
      </c>
      <c r="G12" s="40"/>
      <c r="H12" s="85" t="s">
        <v>1026</v>
      </c>
      <c r="I12" s="1" t="s">
        <v>153</v>
      </c>
      <c r="J12" s="41" t="s">
        <v>127</v>
      </c>
      <c r="K12" s="83"/>
    </row>
    <row r="13" spans="1:11">
      <c r="A13" s="5" t="b">
        <v>1</v>
      </c>
      <c r="B13" s="6" t="s">
        <v>35</v>
      </c>
      <c r="C13" s="6"/>
      <c r="D13" s="6" t="b">
        <v>0</v>
      </c>
      <c r="E13" s="6" t="b">
        <v>1</v>
      </c>
      <c r="F13" s="1" t="s">
        <v>1027</v>
      </c>
      <c r="G13" s="187" t="s">
        <v>1028</v>
      </c>
      <c r="H13" s="85" t="s">
        <v>1029</v>
      </c>
      <c r="I13" s="1" t="s">
        <v>153</v>
      </c>
      <c r="J13" s="41" t="s">
        <v>127</v>
      </c>
      <c r="K13" s="23"/>
    </row>
    <row r="14" spans="1:11">
      <c r="A14" s="5" t="b">
        <v>0</v>
      </c>
      <c r="B14" s="6" t="s">
        <v>35</v>
      </c>
      <c r="C14" s="6"/>
      <c r="D14" s="6" t="b">
        <v>0</v>
      </c>
      <c r="E14" s="6" t="b">
        <v>1</v>
      </c>
      <c r="F14" s="1" t="s">
        <v>1030</v>
      </c>
      <c r="G14" s="187" t="s">
        <v>1031</v>
      </c>
      <c r="H14" s="85" t="s">
        <v>1032</v>
      </c>
      <c r="I14" s="1" t="s">
        <v>153</v>
      </c>
      <c r="J14" s="41" t="s">
        <v>127</v>
      </c>
      <c r="K14" s="23"/>
    </row>
    <row r="15" spans="1:11">
      <c r="A15" s="5" t="b">
        <v>0</v>
      </c>
      <c r="B15" s="6" t="s">
        <v>35</v>
      </c>
      <c r="C15" s="6"/>
      <c r="D15" s="6" t="b">
        <v>0</v>
      </c>
      <c r="E15" s="6" t="b">
        <v>1</v>
      </c>
      <c r="F15" s="1" t="s">
        <v>1033</v>
      </c>
      <c r="G15" s="187" t="s">
        <v>1034</v>
      </c>
      <c r="H15" s="85" t="s">
        <v>719</v>
      </c>
      <c r="I15" s="1" t="s">
        <v>153</v>
      </c>
      <c r="J15" s="41" t="s">
        <v>127</v>
      </c>
      <c r="K15" s="23"/>
    </row>
    <row r="16" spans="1:11">
      <c r="A16" s="5" t="b">
        <v>0</v>
      </c>
      <c r="B16" s="6" t="s">
        <v>35</v>
      </c>
      <c r="C16" s="6"/>
      <c r="D16" s="6" t="b">
        <v>0</v>
      </c>
      <c r="E16" s="6" t="b">
        <v>1</v>
      </c>
      <c r="F16" s="1" t="s">
        <v>1035</v>
      </c>
      <c r="G16" s="187" t="s">
        <v>569</v>
      </c>
      <c r="H16" s="85" t="s">
        <v>1036</v>
      </c>
      <c r="I16" s="1" t="s">
        <v>153</v>
      </c>
      <c r="J16" s="41" t="s">
        <v>127</v>
      </c>
      <c r="K16" s="23"/>
    </row>
    <row r="17" spans="1:11">
      <c r="A17" s="5" t="b">
        <v>0</v>
      </c>
      <c r="B17" s="6" t="s">
        <v>35</v>
      </c>
      <c r="C17" s="6"/>
      <c r="D17" s="6" t="b">
        <v>0</v>
      </c>
      <c r="E17" s="6" t="b">
        <v>1</v>
      </c>
      <c r="F17" s="1" t="s">
        <v>1037</v>
      </c>
      <c r="G17" s="187" t="s">
        <v>1038</v>
      </c>
      <c r="H17" s="85" t="s">
        <v>1039</v>
      </c>
      <c r="I17" s="1" t="s">
        <v>153</v>
      </c>
      <c r="J17" s="41" t="s">
        <v>127</v>
      </c>
      <c r="K17" s="23"/>
    </row>
    <row r="18" spans="1:11">
      <c r="A18" s="5" t="b">
        <v>0</v>
      </c>
      <c r="B18" s="6" t="s">
        <v>35</v>
      </c>
      <c r="C18" s="6"/>
      <c r="D18" s="6" t="b">
        <v>0</v>
      </c>
      <c r="E18" s="6" t="b">
        <v>1</v>
      </c>
      <c r="F18" s="1" t="s">
        <v>1040</v>
      </c>
      <c r="G18" s="187" t="s">
        <v>1041</v>
      </c>
      <c r="H18" s="85" t="s">
        <v>1042</v>
      </c>
      <c r="I18" s="1" t="s">
        <v>153</v>
      </c>
      <c r="J18" s="41" t="s">
        <v>127</v>
      </c>
      <c r="K18" s="23"/>
    </row>
    <row r="19" spans="1:11">
      <c r="A19" s="5" t="b">
        <v>0</v>
      </c>
      <c r="B19" s="6" t="s">
        <v>35</v>
      </c>
      <c r="C19" s="6"/>
      <c r="D19" s="6" t="b">
        <v>0</v>
      </c>
      <c r="E19" s="6" t="b">
        <v>1</v>
      </c>
      <c r="F19" s="1" t="s">
        <v>1043</v>
      </c>
      <c r="G19" s="187" t="s">
        <v>1044</v>
      </c>
      <c r="H19" s="85" t="s">
        <v>1045</v>
      </c>
      <c r="I19" s="1" t="s">
        <v>153</v>
      </c>
      <c r="J19" s="41" t="s">
        <v>127</v>
      </c>
      <c r="K19" s="23"/>
    </row>
    <row r="20" spans="1:11">
      <c r="A20" s="5" t="b">
        <v>0</v>
      </c>
      <c r="B20" s="6" t="s">
        <v>35</v>
      </c>
      <c r="C20" s="6"/>
      <c r="D20" s="6" t="b">
        <v>0</v>
      </c>
      <c r="E20" s="6" t="b">
        <v>1</v>
      </c>
      <c r="F20" s="1" t="s">
        <v>1046</v>
      </c>
      <c r="G20" s="187" t="s">
        <v>1047</v>
      </c>
      <c r="H20" s="85" t="s">
        <v>722</v>
      </c>
      <c r="I20" s="1" t="s">
        <v>153</v>
      </c>
      <c r="J20" s="41" t="s">
        <v>127</v>
      </c>
      <c r="K20" s="23"/>
    </row>
    <row r="21" spans="1:11">
      <c r="A21" s="5" t="b">
        <v>0</v>
      </c>
      <c r="B21" s="6" t="s">
        <v>35</v>
      </c>
      <c r="C21" s="6"/>
      <c r="D21" s="6" t="b">
        <v>0</v>
      </c>
      <c r="E21" s="6" t="b">
        <v>1</v>
      </c>
      <c r="F21" s="1" t="s">
        <v>1048</v>
      </c>
      <c r="G21" s="187" t="s">
        <v>1049</v>
      </c>
      <c r="H21" s="23"/>
      <c r="I21" s="1" t="s">
        <v>153</v>
      </c>
      <c r="J21" s="41" t="s">
        <v>127</v>
      </c>
      <c r="K21" s="23"/>
    </row>
    <row r="22" spans="1:11">
      <c r="A22" s="5" t="b">
        <v>0</v>
      </c>
      <c r="B22" s="6" t="s">
        <v>35</v>
      </c>
      <c r="C22" s="6"/>
      <c r="D22" s="6" t="b">
        <v>0</v>
      </c>
      <c r="E22" s="6" t="b">
        <v>1</v>
      </c>
      <c r="F22" s="1" t="s">
        <v>1050</v>
      </c>
      <c r="G22" s="187" t="s">
        <v>1051</v>
      </c>
      <c r="H22" s="23"/>
      <c r="I22" s="1" t="s">
        <v>153</v>
      </c>
      <c r="J22" s="41" t="s">
        <v>127</v>
      </c>
      <c r="K22" s="23"/>
    </row>
    <row r="23" spans="1:11">
      <c r="A23" s="5" t="b">
        <v>0</v>
      </c>
      <c r="B23" s="6" t="s">
        <v>35</v>
      </c>
      <c r="C23" s="6"/>
      <c r="D23" s="6" t="b">
        <v>0</v>
      </c>
      <c r="E23" s="6" t="b">
        <v>1</v>
      </c>
      <c r="F23" s="1" t="s">
        <v>1052</v>
      </c>
      <c r="G23" s="187" t="s">
        <v>1053</v>
      </c>
      <c r="H23" s="23"/>
      <c r="I23" s="1" t="s">
        <v>153</v>
      </c>
      <c r="J23" s="41" t="s">
        <v>127</v>
      </c>
      <c r="K23" s="23"/>
    </row>
    <row r="24" spans="1:11">
      <c r="A24" s="5" t="b">
        <v>0</v>
      </c>
      <c r="B24" s="6" t="s">
        <v>35</v>
      </c>
      <c r="C24" s="6"/>
      <c r="D24" s="6" t="b">
        <v>0</v>
      </c>
      <c r="E24" s="6" t="b">
        <v>1</v>
      </c>
      <c r="F24" s="1" t="s">
        <v>1054</v>
      </c>
      <c r="G24" s="187" t="s">
        <v>1053</v>
      </c>
      <c r="H24" s="23"/>
      <c r="I24" s="1" t="s">
        <v>153</v>
      </c>
      <c r="J24" s="41" t="s">
        <v>127</v>
      </c>
      <c r="K24" s="23"/>
    </row>
    <row r="25" spans="1:11">
      <c r="A25" s="5" t="b">
        <v>0</v>
      </c>
      <c r="B25" s="6" t="s">
        <v>35</v>
      </c>
      <c r="C25" s="6"/>
      <c r="D25" s="6" t="b">
        <v>0</v>
      </c>
      <c r="E25" s="6" t="b">
        <v>1</v>
      </c>
      <c r="F25" s="1" t="s">
        <v>1055</v>
      </c>
      <c r="G25" s="187" t="s">
        <v>1056</v>
      </c>
      <c r="H25" s="23"/>
      <c r="I25" s="1" t="s">
        <v>153</v>
      </c>
      <c r="J25" s="41" t="s">
        <v>127</v>
      </c>
      <c r="K25" s="23"/>
    </row>
    <row r="26" spans="1:11">
      <c r="A26" s="5" t="b">
        <v>0</v>
      </c>
      <c r="B26" s="6" t="s">
        <v>35</v>
      </c>
      <c r="C26" s="6"/>
      <c r="D26" s="6" t="b">
        <v>0</v>
      </c>
      <c r="E26" s="6" t="b">
        <v>1</v>
      </c>
      <c r="F26" s="1" t="s">
        <v>1057</v>
      </c>
      <c r="G26" s="187" t="s">
        <v>1058</v>
      </c>
      <c r="H26" s="23"/>
      <c r="I26" s="1" t="s">
        <v>153</v>
      </c>
      <c r="J26" s="41" t="s">
        <v>127</v>
      </c>
      <c r="K26" s="23"/>
    </row>
    <row r="27" spans="1:11">
      <c r="A27" s="5" t="b">
        <v>0</v>
      </c>
      <c r="B27" s="6" t="s">
        <v>35</v>
      </c>
      <c r="C27" s="6"/>
      <c r="D27" s="6" t="b">
        <v>0</v>
      </c>
      <c r="E27" s="6" t="b">
        <v>1</v>
      </c>
      <c r="F27" s="1" t="s">
        <v>1059</v>
      </c>
      <c r="G27" s="40"/>
      <c r="H27" s="23"/>
      <c r="I27" s="1" t="s">
        <v>153</v>
      </c>
      <c r="J27" s="41" t="s">
        <v>20</v>
      </c>
      <c r="K27" s="23"/>
    </row>
    <row r="28" spans="1:11">
      <c r="A28" s="5" t="b">
        <v>0</v>
      </c>
      <c r="B28" s="6" t="s">
        <v>35</v>
      </c>
      <c r="C28" s="6"/>
      <c r="D28" s="6" t="b">
        <v>0</v>
      </c>
      <c r="E28" s="6" t="b">
        <v>1</v>
      </c>
      <c r="F28" s="1" t="s">
        <v>1060</v>
      </c>
      <c r="G28" s="40"/>
      <c r="H28" s="23"/>
      <c r="I28" s="1" t="s">
        <v>153</v>
      </c>
      <c r="J28" s="41" t="s">
        <v>20</v>
      </c>
      <c r="K28" s="23"/>
    </row>
    <row r="29" spans="1:11">
      <c r="A29" s="5" t="b">
        <v>0</v>
      </c>
      <c r="B29" s="6" t="s">
        <v>35</v>
      </c>
      <c r="C29" s="6"/>
      <c r="D29" s="6" t="b">
        <v>0</v>
      </c>
      <c r="E29" s="6" t="b">
        <v>1</v>
      </c>
      <c r="F29" s="1" t="s">
        <v>1061</v>
      </c>
      <c r="G29" s="40"/>
      <c r="H29" s="83"/>
      <c r="I29" s="1" t="s">
        <v>153</v>
      </c>
      <c r="J29" s="41" t="s">
        <v>20</v>
      </c>
      <c r="K29" s="23"/>
    </row>
    <row r="30" spans="1:11">
      <c r="A30" s="5" t="b">
        <v>0</v>
      </c>
      <c r="B30" s="6" t="s">
        <v>35</v>
      </c>
      <c r="C30" s="6"/>
      <c r="D30" s="6" t="b">
        <v>0</v>
      </c>
      <c r="E30" s="6" t="b">
        <v>1</v>
      </c>
      <c r="F30" s="1" t="s">
        <v>1062</v>
      </c>
      <c r="G30" s="40"/>
      <c r="H30" s="23"/>
      <c r="I30" s="1" t="s">
        <v>153</v>
      </c>
      <c r="J30" s="41" t="s">
        <v>20</v>
      </c>
      <c r="K30" s="23"/>
    </row>
    <row r="31" spans="1:11">
      <c r="A31" s="5" t="b">
        <v>0</v>
      </c>
      <c r="B31" s="6" t="s">
        <v>35</v>
      </c>
      <c r="C31" s="6"/>
      <c r="D31" s="6" t="b">
        <v>0</v>
      </c>
      <c r="E31" s="6" t="b">
        <v>1</v>
      </c>
      <c r="F31" s="1" t="s">
        <v>1063</v>
      </c>
      <c r="G31" s="40"/>
      <c r="H31" s="23"/>
      <c r="I31" s="1" t="s">
        <v>153</v>
      </c>
      <c r="J31" s="41" t="s">
        <v>20</v>
      </c>
      <c r="K31" s="23"/>
    </row>
    <row r="32" spans="1:11">
      <c r="A32" s="5" t="b">
        <v>0</v>
      </c>
      <c r="B32" s="6" t="s">
        <v>35</v>
      </c>
      <c r="C32" s="6"/>
      <c r="D32" s="6" t="b">
        <v>0</v>
      </c>
      <c r="E32" s="6" t="b">
        <v>1</v>
      </c>
      <c r="F32" s="1" t="s">
        <v>1064</v>
      </c>
      <c r="G32" s="40"/>
      <c r="H32" s="23"/>
      <c r="I32" s="1" t="s">
        <v>153</v>
      </c>
      <c r="J32" s="41" t="s">
        <v>20</v>
      </c>
      <c r="K32" s="23"/>
    </row>
    <row r="33" spans="1:11" ht="29">
      <c r="A33" s="8" t="s">
        <v>4</v>
      </c>
      <c r="B33" s="8" t="s">
        <v>5</v>
      </c>
      <c r="C33" s="8" t="s">
        <v>6</v>
      </c>
      <c r="D33" s="8" t="s">
        <v>113</v>
      </c>
      <c r="E33" s="8" t="s">
        <v>114</v>
      </c>
      <c r="F33" s="8" t="s">
        <v>9</v>
      </c>
      <c r="G33" s="8" t="s">
        <v>10</v>
      </c>
      <c r="H33" s="8"/>
      <c r="I33" s="8" t="s">
        <v>12</v>
      </c>
      <c r="J33" s="29" t="s">
        <v>13</v>
      </c>
      <c r="K33" s="8" t="s">
        <v>14</v>
      </c>
    </row>
    <row r="34" spans="1:11">
      <c r="A34" s="9"/>
      <c r="B34" s="10" t="s">
        <v>15</v>
      </c>
      <c r="C34" s="10"/>
      <c r="D34" s="10" t="b">
        <v>0</v>
      </c>
      <c r="E34" s="10" t="b">
        <v>1</v>
      </c>
      <c r="F34" s="11" t="s">
        <v>16</v>
      </c>
      <c r="G34" s="11"/>
      <c r="H34" s="11"/>
      <c r="I34" s="11"/>
      <c r="J34" s="11"/>
      <c r="K34" s="11"/>
    </row>
    <row r="35" spans="1:11">
      <c r="A35" s="20"/>
      <c r="B35" s="14" t="s">
        <v>17</v>
      </c>
      <c r="C35" s="14"/>
      <c r="D35" s="14" t="b">
        <v>0</v>
      </c>
      <c r="E35" s="14" t="b">
        <v>1</v>
      </c>
      <c r="F35" s="14" t="s">
        <v>18</v>
      </c>
      <c r="G35" s="14" t="s">
        <v>1065</v>
      </c>
      <c r="H35" s="86"/>
      <c r="I35" s="14"/>
      <c r="J35" s="14"/>
      <c r="K35" s="15"/>
    </row>
    <row r="36" spans="1:11" hidden="1">
      <c r="A36" s="5" t="b">
        <v>1</v>
      </c>
      <c r="B36" s="6" t="s">
        <v>21</v>
      </c>
      <c r="C36" s="6"/>
      <c r="D36" s="6" t="b">
        <v>0</v>
      </c>
      <c r="E36" s="6" t="b">
        <v>1</v>
      </c>
      <c r="F36" s="1" t="s">
        <v>22</v>
      </c>
      <c r="G36" s="1" t="s">
        <v>62</v>
      </c>
      <c r="H36" s="85"/>
      <c r="I36" s="1"/>
      <c r="J36" s="1"/>
      <c r="K36" s="23"/>
    </row>
    <row r="37" spans="1:11" hidden="1">
      <c r="A37" s="5" t="b">
        <v>0</v>
      </c>
      <c r="B37" s="6" t="s">
        <v>24</v>
      </c>
      <c r="C37" s="6"/>
      <c r="D37" s="6" t="b">
        <v>0</v>
      </c>
      <c r="E37" s="6" t="b">
        <v>1</v>
      </c>
      <c r="F37" s="1" t="s">
        <v>25</v>
      </c>
      <c r="G37" s="1">
        <v>2</v>
      </c>
      <c r="H37" s="85"/>
      <c r="I37" s="1"/>
      <c r="J37" s="1"/>
      <c r="K37" s="23"/>
    </row>
    <row r="38" spans="1:11" hidden="1">
      <c r="A38" s="5" t="b">
        <v>0</v>
      </c>
      <c r="B38" s="6" t="s">
        <v>26</v>
      </c>
      <c r="C38" s="6"/>
      <c r="D38" s="6" t="b">
        <v>0</v>
      </c>
      <c r="E38" s="6" t="b">
        <v>1</v>
      </c>
      <c r="F38" s="1" t="s">
        <v>27</v>
      </c>
      <c r="G38" s="1" t="s">
        <v>1066</v>
      </c>
      <c r="H38" s="85"/>
      <c r="I38" s="1"/>
      <c r="J38" s="1"/>
      <c r="K38" s="23"/>
    </row>
    <row r="39" spans="1:11" hidden="1">
      <c r="A39" s="5" t="b">
        <v>1</v>
      </c>
      <c r="B39" s="6" t="s">
        <v>28</v>
      </c>
      <c r="C39" s="6"/>
      <c r="D39" s="6" t="b">
        <v>0</v>
      </c>
      <c r="E39" s="6" t="b">
        <v>1</v>
      </c>
      <c r="F39" s="1" t="s">
        <v>29</v>
      </c>
      <c r="G39" s="1" t="s">
        <v>1025</v>
      </c>
      <c r="H39" s="85"/>
      <c r="I39" s="1"/>
      <c r="J39" s="1"/>
      <c r="K39" s="23"/>
    </row>
    <row r="40" spans="1:11" hidden="1">
      <c r="A40" s="3"/>
      <c r="B40" s="4" t="s">
        <v>31</v>
      </c>
      <c r="C40" s="4"/>
      <c r="D40" s="4" t="b">
        <v>0</v>
      </c>
      <c r="E40" s="4" t="b">
        <v>1</v>
      </c>
      <c r="F40" s="7" t="s">
        <v>32</v>
      </c>
      <c r="G40" s="7"/>
      <c r="H40" s="87"/>
      <c r="I40" s="7"/>
      <c r="J40" s="7"/>
      <c r="K40" s="23"/>
    </row>
    <row r="41" spans="1:11">
      <c r="A41" s="5" t="b">
        <v>0</v>
      </c>
      <c r="B41" s="6" t="s">
        <v>33</v>
      </c>
      <c r="C41" s="6"/>
      <c r="D41" s="6" t="b">
        <v>0</v>
      </c>
      <c r="E41" s="6" t="b">
        <v>1</v>
      </c>
      <c r="F41" s="1" t="s">
        <v>34</v>
      </c>
      <c r="G41" s="40"/>
      <c r="H41" s="85" t="s">
        <v>1067</v>
      </c>
      <c r="I41" s="1" t="s">
        <v>153</v>
      </c>
      <c r="J41" s="41" t="s">
        <v>127</v>
      </c>
      <c r="K41" s="23"/>
    </row>
    <row r="42" spans="1:11">
      <c r="A42" s="5" t="b">
        <v>1</v>
      </c>
      <c r="B42" s="6" t="s">
        <v>35</v>
      </c>
      <c r="C42" s="6"/>
      <c r="D42" s="6" t="b">
        <v>0</v>
      </c>
      <c r="E42" s="6" t="b">
        <v>1</v>
      </c>
      <c r="F42" s="1" t="s">
        <v>1027</v>
      </c>
      <c r="G42" s="187" t="s">
        <v>1068</v>
      </c>
      <c r="H42" s="85" t="s">
        <v>1067</v>
      </c>
      <c r="I42" s="1" t="s">
        <v>153</v>
      </c>
      <c r="J42" s="41" t="s">
        <v>127</v>
      </c>
      <c r="K42" s="23"/>
    </row>
    <row r="43" spans="1:11">
      <c r="A43" s="5" t="b">
        <v>1</v>
      </c>
      <c r="B43" s="6" t="s">
        <v>35</v>
      </c>
      <c r="C43" s="6"/>
      <c r="D43" s="6" t="b">
        <v>0</v>
      </c>
      <c r="E43" s="6" t="b">
        <v>1</v>
      </c>
      <c r="F43" s="1" t="s">
        <v>1030</v>
      </c>
      <c r="G43" s="187" t="s">
        <v>1069</v>
      </c>
      <c r="H43" s="85" t="s">
        <v>1042</v>
      </c>
      <c r="I43" s="1" t="s">
        <v>153</v>
      </c>
      <c r="J43" s="41" t="s">
        <v>127</v>
      </c>
      <c r="K43" s="23"/>
    </row>
    <row r="44" spans="1:11">
      <c r="A44" s="5" t="b">
        <v>1</v>
      </c>
      <c r="B44" s="6" t="s">
        <v>35</v>
      </c>
      <c r="C44" s="6"/>
      <c r="D44" s="6" t="b">
        <v>0</v>
      </c>
      <c r="E44" s="6" t="b">
        <v>1</v>
      </c>
      <c r="F44" s="1" t="s">
        <v>1033</v>
      </c>
      <c r="G44" s="187" t="s">
        <v>1070</v>
      </c>
      <c r="H44" s="85" t="s">
        <v>1071</v>
      </c>
      <c r="I44" s="1" t="s">
        <v>153</v>
      </c>
      <c r="J44" s="41" t="s">
        <v>127</v>
      </c>
      <c r="K44" s="23"/>
    </row>
    <row r="45" spans="1:11">
      <c r="A45" s="5" t="b">
        <v>1</v>
      </c>
      <c r="B45" s="6" t="s">
        <v>35</v>
      </c>
      <c r="C45" s="6"/>
      <c r="D45" s="6" t="b">
        <v>0</v>
      </c>
      <c r="E45" s="6" t="b">
        <v>1</v>
      </c>
      <c r="F45" s="1" t="s">
        <v>1035</v>
      </c>
      <c r="G45" s="187" t="s">
        <v>1072</v>
      </c>
      <c r="H45" s="85" t="s">
        <v>1073</v>
      </c>
      <c r="I45" s="1" t="s">
        <v>153</v>
      </c>
      <c r="J45" s="41" t="s">
        <v>127</v>
      </c>
      <c r="K45" s="23"/>
    </row>
    <row r="46" spans="1:11">
      <c r="A46" s="5" t="b">
        <v>1</v>
      </c>
      <c r="B46" s="6" t="s">
        <v>35</v>
      </c>
      <c r="C46" s="6"/>
      <c r="D46" s="6" t="b">
        <v>0</v>
      </c>
      <c r="E46" s="6" t="b">
        <v>1</v>
      </c>
      <c r="F46" s="1" t="s">
        <v>1037</v>
      </c>
      <c r="G46" s="187" t="s">
        <v>1074</v>
      </c>
      <c r="H46" s="23"/>
      <c r="I46" s="1" t="s">
        <v>153</v>
      </c>
      <c r="J46" s="41" t="s">
        <v>127</v>
      </c>
      <c r="K46" s="23"/>
    </row>
    <row r="47" spans="1:11">
      <c r="A47" s="5" t="b">
        <v>1</v>
      </c>
      <c r="B47" s="6" t="s">
        <v>35</v>
      </c>
      <c r="C47" s="6"/>
      <c r="D47" s="6" t="b">
        <v>0</v>
      </c>
      <c r="E47" s="6" t="b">
        <v>1</v>
      </c>
      <c r="F47" s="1" t="s">
        <v>1040</v>
      </c>
      <c r="G47" s="187" t="s">
        <v>1075</v>
      </c>
      <c r="H47" s="23"/>
      <c r="I47" s="1" t="s">
        <v>153</v>
      </c>
      <c r="J47" s="41" t="s">
        <v>127</v>
      </c>
      <c r="K47" s="23"/>
    </row>
    <row r="48" spans="1:11">
      <c r="A48" s="5" t="b">
        <v>1</v>
      </c>
      <c r="B48" s="6" t="s">
        <v>35</v>
      </c>
      <c r="C48" s="6"/>
      <c r="D48" s="6" t="b">
        <v>0</v>
      </c>
      <c r="E48" s="6" t="b">
        <v>1</v>
      </c>
      <c r="F48" s="1" t="s">
        <v>1043</v>
      </c>
      <c r="G48" s="40"/>
      <c r="H48" s="23"/>
      <c r="I48" s="1" t="s">
        <v>153</v>
      </c>
      <c r="J48" s="41" t="s">
        <v>20</v>
      </c>
      <c r="K48" s="23"/>
    </row>
    <row r="49" spans="1:11">
      <c r="A49" s="5" t="b">
        <v>0</v>
      </c>
      <c r="B49" s="6" t="s">
        <v>35</v>
      </c>
      <c r="C49" s="6"/>
      <c r="D49" s="6" t="b">
        <v>0</v>
      </c>
      <c r="E49" s="6" t="b">
        <v>1</v>
      </c>
      <c r="F49" s="1" t="s">
        <v>1046</v>
      </c>
      <c r="G49" s="40"/>
      <c r="H49" s="23"/>
      <c r="I49" s="1" t="s">
        <v>153</v>
      </c>
      <c r="J49" s="41" t="s">
        <v>20</v>
      </c>
      <c r="K49" s="23"/>
    </row>
    <row r="50" spans="1:11">
      <c r="A50" s="5" t="b">
        <v>0</v>
      </c>
      <c r="B50" s="6" t="s">
        <v>35</v>
      </c>
      <c r="C50" s="6"/>
      <c r="D50" s="6" t="b">
        <v>0</v>
      </c>
      <c r="E50" s="6" t="b">
        <v>1</v>
      </c>
      <c r="F50" s="1" t="s">
        <v>1048</v>
      </c>
      <c r="G50" s="40"/>
      <c r="H50" s="23"/>
      <c r="I50" s="1" t="s">
        <v>153</v>
      </c>
      <c r="J50" s="41" t="s">
        <v>20</v>
      </c>
      <c r="K50" s="23"/>
    </row>
    <row r="51" spans="1:11">
      <c r="A51" s="5" t="b">
        <v>0</v>
      </c>
      <c r="B51" s="6" t="s">
        <v>35</v>
      </c>
      <c r="C51" s="6"/>
      <c r="D51" s="6" t="b">
        <v>0</v>
      </c>
      <c r="E51" s="6" t="b">
        <v>1</v>
      </c>
      <c r="F51" s="1" t="s">
        <v>1050</v>
      </c>
      <c r="G51" s="40"/>
      <c r="H51" s="23"/>
      <c r="I51" s="1" t="s">
        <v>153</v>
      </c>
      <c r="J51" s="41" t="s">
        <v>20</v>
      </c>
      <c r="K51" s="23"/>
    </row>
    <row r="52" spans="1:11">
      <c r="A52" s="5" t="b">
        <v>0</v>
      </c>
      <c r="B52" s="6" t="s">
        <v>35</v>
      </c>
      <c r="C52" s="6"/>
      <c r="D52" s="6" t="b">
        <v>0</v>
      </c>
      <c r="E52" s="6" t="b">
        <v>1</v>
      </c>
      <c r="F52" s="1" t="s">
        <v>1052</v>
      </c>
      <c r="G52" s="40"/>
      <c r="H52" s="23"/>
      <c r="I52" s="1" t="s">
        <v>153</v>
      </c>
      <c r="J52" s="41" t="s">
        <v>20</v>
      </c>
      <c r="K52" s="23"/>
    </row>
    <row r="53" spans="1:11">
      <c r="A53" s="5" t="b">
        <v>0</v>
      </c>
      <c r="B53" s="6" t="s">
        <v>35</v>
      </c>
      <c r="C53" s="6"/>
      <c r="D53" s="6" t="b">
        <v>0</v>
      </c>
      <c r="E53" s="6" t="b">
        <v>1</v>
      </c>
      <c r="F53" s="1" t="s">
        <v>1054</v>
      </c>
      <c r="G53" s="40"/>
      <c r="H53" s="23"/>
      <c r="I53" s="1" t="s">
        <v>153</v>
      </c>
      <c r="J53" s="41" t="s">
        <v>20</v>
      </c>
      <c r="K53" s="23"/>
    </row>
    <row r="54" spans="1:11">
      <c r="A54" s="5" t="b">
        <v>0</v>
      </c>
      <c r="B54" s="6" t="s">
        <v>35</v>
      </c>
      <c r="C54" s="6"/>
      <c r="D54" s="6" t="b">
        <v>0</v>
      </c>
      <c r="E54" s="6" t="b">
        <v>1</v>
      </c>
      <c r="F54" s="1" t="s">
        <v>1055</v>
      </c>
      <c r="G54" s="40"/>
      <c r="H54" s="23"/>
      <c r="I54" s="1" t="s">
        <v>153</v>
      </c>
      <c r="J54" s="41" t="s">
        <v>20</v>
      </c>
      <c r="K54" s="23"/>
    </row>
    <row r="55" spans="1:11">
      <c r="A55" s="5" t="b">
        <v>0</v>
      </c>
      <c r="B55" s="6" t="s">
        <v>35</v>
      </c>
      <c r="C55" s="6"/>
      <c r="D55" s="6" t="b">
        <v>0</v>
      </c>
      <c r="E55" s="6" t="b">
        <v>1</v>
      </c>
      <c r="F55" s="1" t="s">
        <v>1057</v>
      </c>
      <c r="G55" s="40"/>
      <c r="H55" s="23"/>
      <c r="I55" s="1" t="s">
        <v>153</v>
      </c>
      <c r="J55" s="41" t="s">
        <v>20</v>
      </c>
      <c r="K55" s="23"/>
    </row>
    <row r="56" spans="1:11">
      <c r="A56" s="5" t="b">
        <v>0</v>
      </c>
      <c r="B56" s="6" t="s">
        <v>35</v>
      </c>
      <c r="C56" s="6"/>
      <c r="D56" s="6" t="b">
        <v>0</v>
      </c>
      <c r="E56" s="6" t="b">
        <v>1</v>
      </c>
      <c r="F56" s="1" t="s">
        <v>1059</v>
      </c>
      <c r="G56" s="40"/>
      <c r="H56" s="23"/>
      <c r="I56" s="1" t="s">
        <v>153</v>
      </c>
      <c r="J56" s="41" t="s">
        <v>20</v>
      </c>
      <c r="K56" s="23"/>
    </row>
    <row r="57" spans="1:11">
      <c r="A57" s="5" t="b">
        <v>0</v>
      </c>
      <c r="B57" s="6" t="s">
        <v>35</v>
      </c>
      <c r="C57" s="6"/>
      <c r="D57" s="6" t="b">
        <v>0</v>
      </c>
      <c r="E57" s="6" t="b">
        <v>1</v>
      </c>
      <c r="F57" s="1" t="s">
        <v>1060</v>
      </c>
      <c r="G57" s="40"/>
      <c r="H57" s="23"/>
      <c r="I57" s="1" t="s">
        <v>153</v>
      </c>
      <c r="J57" s="41" t="s">
        <v>20</v>
      </c>
      <c r="K57" s="23"/>
    </row>
    <row r="58" spans="1:11">
      <c r="A58" s="5" t="b">
        <v>0</v>
      </c>
      <c r="B58" s="6" t="s">
        <v>35</v>
      </c>
      <c r="C58" s="6"/>
      <c r="D58" s="6" t="b">
        <v>0</v>
      </c>
      <c r="E58" s="6" t="b">
        <v>1</v>
      </c>
      <c r="F58" s="1" t="s">
        <v>1061</v>
      </c>
      <c r="G58" s="40"/>
      <c r="H58" s="83"/>
      <c r="I58" s="1" t="s">
        <v>153</v>
      </c>
      <c r="J58" s="41" t="s">
        <v>20</v>
      </c>
      <c r="K58" s="23"/>
    </row>
    <row r="59" spans="1:11">
      <c r="A59" s="5" t="b">
        <v>0</v>
      </c>
      <c r="B59" s="6" t="s">
        <v>35</v>
      </c>
      <c r="C59" s="6"/>
      <c r="D59" s="6" t="b">
        <v>0</v>
      </c>
      <c r="E59" s="6" t="b">
        <v>1</v>
      </c>
      <c r="F59" s="1" t="s">
        <v>1062</v>
      </c>
      <c r="G59" s="40"/>
      <c r="H59" s="23"/>
      <c r="I59" s="1" t="s">
        <v>153</v>
      </c>
      <c r="J59" s="41" t="s">
        <v>20</v>
      </c>
      <c r="K59" s="23"/>
    </row>
    <row r="60" spans="1:11">
      <c r="A60" s="5" t="b">
        <v>0</v>
      </c>
      <c r="B60" s="6" t="s">
        <v>35</v>
      </c>
      <c r="C60" s="6"/>
      <c r="D60" s="6" t="b">
        <v>0</v>
      </c>
      <c r="E60" s="6" t="b">
        <v>1</v>
      </c>
      <c r="F60" s="1" t="s">
        <v>1063</v>
      </c>
      <c r="G60" s="40"/>
      <c r="H60" s="23"/>
      <c r="I60" s="1" t="s">
        <v>153</v>
      </c>
      <c r="J60" s="41" t="s">
        <v>20</v>
      </c>
      <c r="K60" s="23"/>
    </row>
    <row r="61" spans="1:11">
      <c r="A61" s="5" t="b">
        <v>0</v>
      </c>
      <c r="B61" s="6" t="s">
        <v>35</v>
      </c>
      <c r="C61" s="6"/>
      <c r="D61" s="6" t="b">
        <v>0</v>
      </c>
      <c r="E61" s="6" t="b">
        <v>1</v>
      </c>
      <c r="F61" s="1" t="s">
        <v>1064</v>
      </c>
      <c r="G61" s="40"/>
      <c r="H61" s="23"/>
      <c r="I61" s="1" t="s">
        <v>153</v>
      </c>
      <c r="J61" s="41" t="s">
        <v>20</v>
      </c>
      <c r="K61" s="23"/>
    </row>
    <row r="62" spans="1:11" ht="29">
      <c r="A62" s="8" t="s">
        <v>4</v>
      </c>
      <c r="B62" s="8" t="s">
        <v>5</v>
      </c>
      <c r="C62" s="8" t="s">
        <v>6</v>
      </c>
      <c r="D62" s="8" t="s">
        <v>113</v>
      </c>
      <c r="E62" s="8" t="s">
        <v>114</v>
      </c>
      <c r="F62" s="8" t="s">
        <v>9</v>
      </c>
      <c r="G62" s="8" t="s">
        <v>10</v>
      </c>
      <c r="H62" s="8" t="s">
        <v>1022</v>
      </c>
      <c r="I62" s="8" t="s">
        <v>12</v>
      </c>
      <c r="J62" s="29" t="s">
        <v>13</v>
      </c>
      <c r="K62" s="8" t="s">
        <v>14</v>
      </c>
    </row>
    <row r="63" spans="1:11">
      <c r="A63" s="9"/>
      <c r="B63" s="10" t="s">
        <v>15</v>
      </c>
      <c r="C63" s="10"/>
      <c r="D63" s="10" t="b">
        <v>0</v>
      </c>
      <c r="E63" s="10" t="b">
        <v>1</v>
      </c>
      <c r="F63" s="11" t="s">
        <v>16</v>
      </c>
      <c r="G63" s="11" t="s">
        <v>1076</v>
      </c>
      <c r="H63" s="11"/>
      <c r="I63" s="11"/>
      <c r="J63" s="11"/>
      <c r="K63" s="11"/>
    </row>
    <row r="64" spans="1:11">
      <c r="A64" s="20"/>
      <c r="B64" s="14" t="s">
        <v>17</v>
      </c>
      <c r="C64" s="14"/>
      <c r="D64" s="14" t="b">
        <v>0</v>
      </c>
      <c r="E64" s="14" t="b">
        <v>1</v>
      </c>
      <c r="F64" s="14" t="s">
        <v>18</v>
      </c>
      <c r="G64" s="14"/>
      <c r="H64" s="14"/>
      <c r="I64" s="14"/>
      <c r="J64" s="14"/>
      <c r="K64" s="15"/>
    </row>
    <row r="65" spans="1:11" ht="29.25" hidden="1" customHeight="1">
      <c r="A65" s="5" t="b">
        <v>1</v>
      </c>
      <c r="B65" s="6" t="s">
        <v>21</v>
      </c>
      <c r="C65" s="6"/>
      <c r="D65" s="6" t="b">
        <v>0</v>
      </c>
      <c r="E65" s="6" t="b">
        <v>1</v>
      </c>
      <c r="F65" s="1" t="s">
        <v>22</v>
      </c>
      <c r="G65" s="1" t="s">
        <v>57</v>
      </c>
      <c r="H65" s="23"/>
      <c r="I65" s="1"/>
      <c r="J65" s="1"/>
      <c r="K65" s="23"/>
    </row>
    <row r="66" spans="1:11" hidden="1">
      <c r="A66" s="5" t="b">
        <v>0</v>
      </c>
      <c r="B66" s="6" t="s">
        <v>24</v>
      </c>
      <c r="C66" s="6"/>
      <c r="D66" s="6" t="b">
        <v>0</v>
      </c>
      <c r="E66" s="6" t="b">
        <v>1</v>
      </c>
      <c r="F66" s="1" t="s">
        <v>25</v>
      </c>
      <c r="G66" s="1">
        <v>1</v>
      </c>
      <c r="H66" s="23"/>
      <c r="I66" s="1"/>
      <c r="J66" s="1"/>
      <c r="K66" s="23"/>
    </row>
    <row r="67" spans="1:11" hidden="1">
      <c r="A67" s="5" t="b">
        <v>0</v>
      </c>
      <c r="B67" s="6" t="s">
        <v>26</v>
      </c>
      <c r="C67" s="6"/>
      <c r="D67" s="6" t="b">
        <v>0</v>
      </c>
      <c r="E67" s="6" t="b">
        <v>1</v>
      </c>
      <c r="F67" s="1" t="s">
        <v>27</v>
      </c>
      <c r="G67" s="1"/>
      <c r="H67" s="23"/>
      <c r="I67" s="1"/>
      <c r="J67" s="1"/>
      <c r="K67" s="23"/>
    </row>
    <row r="68" spans="1:11" hidden="1">
      <c r="A68" s="5" t="b">
        <v>1</v>
      </c>
      <c r="B68" s="6" t="s">
        <v>28</v>
      </c>
      <c r="C68" s="6"/>
      <c r="D68" s="6" t="b">
        <v>0</v>
      </c>
      <c r="E68" s="6" t="b">
        <v>1</v>
      </c>
      <c r="F68" s="1" t="s">
        <v>29</v>
      </c>
      <c r="G68" s="1" t="s">
        <v>1077</v>
      </c>
      <c r="H68" s="23"/>
      <c r="I68" s="1"/>
      <c r="J68" s="1"/>
      <c r="K68" s="23"/>
    </row>
    <row r="69" spans="1:11" hidden="1">
      <c r="A69" s="3"/>
      <c r="B69" s="4" t="s">
        <v>31</v>
      </c>
      <c r="C69" s="4"/>
      <c r="D69" s="4" t="b">
        <v>0</v>
      </c>
      <c r="E69" s="4" t="b">
        <v>1</v>
      </c>
      <c r="F69" s="7" t="s">
        <v>32</v>
      </c>
      <c r="G69" s="7"/>
      <c r="H69" s="7"/>
      <c r="I69" s="7"/>
      <c r="J69" s="7"/>
      <c r="K69" s="7"/>
    </row>
    <row r="70" spans="1:11" ht="29">
      <c r="A70" s="5" t="b">
        <v>1</v>
      </c>
      <c r="B70" s="6" t="s">
        <v>35</v>
      </c>
      <c r="C70" s="6"/>
      <c r="D70" s="6" t="b">
        <v>0</v>
      </c>
      <c r="E70" s="6" t="b">
        <v>1</v>
      </c>
      <c r="F70" s="1" t="s">
        <v>1078</v>
      </c>
      <c r="G70" s="188" t="s">
        <v>1079</v>
      </c>
      <c r="H70" s="88" t="s">
        <v>1080</v>
      </c>
      <c r="I70" s="1" t="s">
        <v>153</v>
      </c>
      <c r="J70" s="41" t="s">
        <v>127</v>
      </c>
      <c r="K70" s="23"/>
    </row>
    <row r="71" spans="1:11" ht="29">
      <c r="A71" s="5" t="b">
        <v>0</v>
      </c>
      <c r="B71" s="6" t="s">
        <v>35</v>
      </c>
      <c r="C71" s="6"/>
      <c r="D71" s="6" t="b">
        <v>0</v>
      </c>
      <c r="E71" s="6" t="b">
        <v>1</v>
      </c>
      <c r="F71" s="1" t="s">
        <v>1081</v>
      </c>
      <c r="G71" s="188" t="s">
        <v>1082</v>
      </c>
      <c r="H71" s="88" t="s">
        <v>1083</v>
      </c>
      <c r="I71" s="1" t="s">
        <v>153</v>
      </c>
      <c r="J71" s="41" t="s">
        <v>127</v>
      </c>
      <c r="K71" s="23"/>
    </row>
    <row r="72" spans="1:11" ht="29">
      <c r="A72" s="5" t="b">
        <v>0</v>
      </c>
      <c r="B72" s="6" t="s">
        <v>35</v>
      </c>
      <c r="C72" s="6"/>
      <c r="D72" s="6" t="b">
        <v>0</v>
      </c>
      <c r="E72" s="6" t="b">
        <v>1</v>
      </c>
      <c r="F72" s="1" t="s">
        <v>1084</v>
      </c>
      <c r="G72" s="188" t="s">
        <v>1085</v>
      </c>
      <c r="H72" s="88" t="s">
        <v>1086</v>
      </c>
      <c r="I72" s="1" t="s">
        <v>153</v>
      </c>
      <c r="J72" s="41" t="s">
        <v>127</v>
      </c>
      <c r="K72" s="23"/>
    </row>
    <row r="73" spans="1:11" ht="29">
      <c r="A73" s="5" t="b">
        <v>0</v>
      </c>
      <c r="B73" s="6" t="s">
        <v>35</v>
      </c>
      <c r="C73" s="6"/>
      <c r="D73" s="6" t="b">
        <v>0</v>
      </c>
      <c r="E73" s="6" t="b">
        <v>1</v>
      </c>
      <c r="F73" s="1" t="s">
        <v>1087</v>
      </c>
      <c r="G73" s="188" t="s">
        <v>1088</v>
      </c>
      <c r="H73" s="88" t="s">
        <v>1089</v>
      </c>
      <c r="I73" s="1" t="s">
        <v>153</v>
      </c>
      <c r="J73" s="41" t="s">
        <v>127</v>
      </c>
      <c r="K73" s="23"/>
    </row>
    <row r="74" spans="1:11" ht="58">
      <c r="A74" s="5" t="b">
        <v>0</v>
      </c>
      <c r="B74" s="6" t="s">
        <v>35</v>
      </c>
      <c r="C74" s="6"/>
      <c r="D74" s="6" t="b">
        <v>0</v>
      </c>
      <c r="E74" s="6" t="b">
        <v>1</v>
      </c>
      <c r="F74" s="1" t="s">
        <v>1090</v>
      </c>
      <c r="G74" s="188" t="s">
        <v>1091</v>
      </c>
      <c r="H74" s="88" t="s">
        <v>1092</v>
      </c>
      <c r="I74" s="1" t="s">
        <v>153</v>
      </c>
      <c r="J74" s="41" t="s">
        <v>127</v>
      </c>
      <c r="K74" s="23"/>
    </row>
    <row r="75" spans="1:11" ht="31">
      <c r="A75" s="5" t="b">
        <v>0</v>
      </c>
      <c r="B75" s="6" t="s">
        <v>35</v>
      </c>
      <c r="C75" s="6"/>
      <c r="D75" s="6" t="b">
        <v>0</v>
      </c>
      <c r="E75" s="6" t="b">
        <v>1</v>
      </c>
      <c r="F75" s="1" t="s">
        <v>1093</v>
      </c>
      <c r="G75" s="188" t="s">
        <v>1094</v>
      </c>
      <c r="H75" s="88" t="s">
        <v>1095</v>
      </c>
      <c r="I75" s="1" t="s">
        <v>153</v>
      </c>
      <c r="J75" s="41" t="s">
        <v>127</v>
      </c>
      <c r="K75" s="23" t="s">
        <v>1096</v>
      </c>
    </row>
    <row r="76" spans="1:11" ht="29">
      <c r="A76" s="5" t="b">
        <v>0</v>
      </c>
      <c r="B76" s="6" t="s">
        <v>35</v>
      </c>
      <c r="C76" s="6"/>
      <c r="D76" s="6" t="b">
        <v>0</v>
      </c>
      <c r="E76" s="6" t="b">
        <v>1</v>
      </c>
      <c r="F76" s="1" t="s">
        <v>1097</v>
      </c>
      <c r="G76" s="188" t="s">
        <v>1098</v>
      </c>
      <c r="H76" s="88" t="s">
        <v>1099</v>
      </c>
      <c r="I76" s="1" t="s">
        <v>153</v>
      </c>
      <c r="J76" s="41" t="s">
        <v>127</v>
      </c>
      <c r="K76" s="23"/>
    </row>
    <row r="77" spans="1:11" ht="130.5">
      <c r="A77" s="5" t="b">
        <v>0</v>
      </c>
      <c r="B77" s="6" t="s">
        <v>35</v>
      </c>
      <c r="C77" s="6"/>
      <c r="D77" s="6" t="b">
        <v>0</v>
      </c>
      <c r="E77" s="6" t="b">
        <v>1</v>
      </c>
      <c r="F77" s="1" t="s">
        <v>1100</v>
      </c>
      <c r="G77" s="47" t="s">
        <v>1101</v>
      </c>
      <c r="H77" s="88" t="s">
        <v>1102</v>
      </c>
      <c r="I77" s="1" t="s">
        <v>153</v>
      </c>
      <c r="J77" s="41" t="s">
        <v>127</v>
      </c>
      <c r="K77" s="23"/>
    </row>
    <row r="78" spans="1:11" ht="29">
      <c r="A78" s="5" t="b">
        <v>0</v>
      </c>
      <c r="B78" s="6" t="s">
        <v>35</v>
      </c>
      <c r="C78" s="6"/>
      <c r="D78" s="6" t="b">
        <v>0</v>
      </c>
      <c r="E78" s="6" t="b">
        <v>1</v>
      </c>
      <c r="F78" s="1" t="s">
        <v>1103</v>
      </c>
      <c r="G78" s="189" t="s">
        <v>1104</v>
      </c>
      <c r="H78" s="88" t="s">
        <v>1105</v>
      </c>
      <c r="I78" s="1" t="s">
        <v>153</v>
      </c>
      <c r="J78" s="41" t="s">
        <v>127</v>
      </c>
      <c r="K78" s="23"/>
    </row>
    <row r="79" spans="1:11">
      <c r="A79" s="5" t="b">
        <v>0</v>
      </c>
      <c r="B79" s="6" t="s">
        <v>35</v>
      </c>
      <c r="C79" s="6"/>
      <c r="D79" s="6" t="b">
        <v>0</v>
      </c>
      <c r="E79" s="6" t="b">
        <v>1</v>
      </c>
      <c r="F79" s="1" t="s">
        <v>1106</v>
      </c>
      <c r="G79" s="188" t="s">
        <v>1107</v>
      </c>
      <c r="H79" s="88" t="s">
        <v>1108</v>
      </c>
      <c r="I79" s="1" t="s">
        <v>153</v>
      </c>
      <c r="J79" s="41" t="s">
        <v>127</v>
      </c>
      <c r="K79" s="23"/>
    </row>
    <row r="80" spans="1:11" ht="31">
      <c r="A80" s="5" t="b">
        <v>0</v>
      </c>
      <c r="B80" s="6" t="s">
        <v>35</v>
      </c>
      <c r="C80" s="6"/>
      <c r="D80" s="6" t="b">
        <v>0</v>
      </c>
      <c r="E80" s="6" t="b">
        <v>1</v>
      </c>
      <c r="F80" s="1" t="s">
        <v>1109</v>
      </c>
      <c r="G80" s="188" t="s">
        <v>1110</v>
      </c>
      <c r="H80" s="88" t="s">
        <v>1111</v>
      </c>
      <c r="I80" s="1" t="s">
        <v>153</v>
      </c>
      <c r="J80" s="41" t="s">
        <v>127</v>
      </c>
      <c r="K80" s="23"/>
    </row>
    <row r="81" spans="1:11" ht="29">
      <c r="A81" s="5"/>
      <c r="B81" s="6"/>
      <c r="C81" s="6"/>
      <c r="D81" s="6"/>
      <c r="E81" s="6"/>
      <c r="F81" s="1" t="s">
        <v>1112</v>
      </c>
      <c r="G81" s="188" t="s">
        <v>1113</v>
      </c>
      <c r="H81" s="88" t="s">
        <v>1114</v>
      </c>
      <c r="I81" s="1"/>
      <c r="J81" s="41" t="s">
        <v>127</v>
      </c>
      <c r="K81" s="23"/>
    </row>
    <row r="82" spans="1:11" ht="29">
      <c r="A82" s="5" t="b">
        <v>0</v>
      </c>
      <c r="B82" s="6" t="s">
        <v>35</v>
      </c>
      <c r="C82" s="6"/>
      <c r="D82" s="6" t="b">
        <v>0</v>
      </c>
      <c r="E82" s="6" t="b">
        <v>1</v>
      </c>
      <c r="F82" s="1" t="s">
        <v>1115</v>
      </c>
      <c r="G82" s="188" t="s">
        <v>1116</v>
      </c>
      <c r="H82" s="88" t="s">
        <v>1117</v>
      </c>
      <c r="I82" s="1" t="s">
        <v>153</v>
      </c>
      <c r="J82" s="41" t="s">
        <v>127</v>
      </c>
      <c r="K82" s="23"/>
    </row>
    <row r="83" spans="1:11" ht="43.5">
      <c r="A83" s="5" t="b">
        <v>0</v>
      </c>
      <c r="B83" s="6" t="s">
        <v>35</v>
      </c>
      <c r="C83" s="6"/>
      <c r="D83" s="6" t="b">
        <v>0</v>
      </c>
      <c r="E83" s="6" t="b">
        <v>1</v>
      </c>
      <c r="F83" s="1" t="s">
        <v>1118</v>
      </c>
      <c r="G83" s="188" t="s">
        <v>1119</v>
      </c>
      <c r="H83" s="88" t="s">
        <v>1120</v>
      </c>
      <c r="I83" s="1" t="s">
        <v>153</v>
      </c>
      <c r="J83" s="41" t="s">
        <v>127</v>
      </c>
      <c r="K83" s="23"/>
    </row>
    <row r="84" spans="1:11" ht="31">
      <c r="A84" s="5" t="b">
        <v>0</v>
      </c>
      <c r="B84" s="6" t="s">
        <v>35</v>
      </c>
      <c r="C84" s="6"/>
      <c r="D84" s="6" t="b">
        <v>0</v>
      </c>
      <c r="E84" s="6" t="b">
        <v>1</v>
      </c>
      <c r="F84" s="1" t="s">
        <v>1121</v>
      </c>
      <c r="G84" s="188" t="s">
        <v>1122</v>
      </c>
      <c r="H84" s="34"/>
      <c r="I84" s="1" t="s">
        <v>153</v>
      </c>
      <c r="J84" s="41" t="s">
        <v>127</v>
      </c>
      <c r="K84" s="23"/>
    </row>
    <row r="85" spans="1:11">
      <c r="A85" s="5" t="b">
        <v>0</v>
      </c>
      <c r="B85" s="6" t="s">
        <v>35</v>
      </c>
      <c r="C85" s="6"/>
      <c r="D85" s="6" t="b">
        <v>0</v>
      </c>
      <c r="E85" s="6" t="b">
        <v>1</v>
      </c>
      <c r="F85" s="1" t="s">
        <v>1123</v>
      </c>
      <c r="G85" s="44"/>
      <c r="H85" s="84"/>
      <c r="I85" s="1" t="s">
        <v>153</v>
      </c>
      <c r="J85" s="41" t="s">
        <v>20</v>
      </c>
      <c r="K85" s="23"/>
    </row>
    <row r="86" spans="1:11">
      <c r="A86" s="3"/>
      <c r="B86" s="4" t="s">
        <v>36</v>
      </c>
      <c r="C86" s="4"/>
      <c r="D86" s="4" t="b">
        <v>0</v>
      </c>
      <c r="E86" s="4" t="b">
        <v>1</v>
      </c>
      <c r="F86" s="7" t="s">
        <v>37</v>
      </c>
      <c r="G86" s="4"/>
      <c r="H86" s="7"/>
      <c r="I86" s="7"/>
      <c r="J86" s="41" t="s">
        <v>20</v>
      </c>
      <c r="K86" s="23"/>
    </row>
    <row r="87" spans="1:11" ht="87">
      <c r="A87" s="5" t="b">
        <v>0</v>
      </c>
      <c r="B87" s="6" t="s">
        <v>38</v>
      </c>
      <c r="C87" s="6"/>
      <c r="D87" s="6" t="b">
        <v>0</v>
      </c>
      <c r="E87" s="6" t="b">
        <v>1</v>
      </c>
      <c r="F87" s="1"/>
      <c r="G87" s="93"/>
      <c r="H87" s="88" t="s">
        <v>1124</v>
      </c>
      <c r="I87" s="1"/>
      <c r="J87" s="41" t="s">
        <v>20</v>
      </c>
      <c r="K87" s="96" t="s">
        <v>161</v>
      </c>
    </row>
    <row r="88" spans="1:11" ht="29">
      <c r="A88" s="5" t="b">
        <v>0</v>
      </c>
      <c r="B88" s="6" t="s">
        <v>38</v>
      </c>
      <c r="C88" s="6"/>
      <c r="D88" s="6" t="b">
        <v>0</v>
      </c>
      <c r="E88" s="6" t="b">
        <v>1</v>
      </c>
      <c r="F88" s="1"/>
      <c r="G88" s="94"/>
      <c r="H88" s="34"/>
      <c r="I88" s="1"/>
      <c r="J88" s="41" t="s">
        <v>20</v>
      </c>
      <c r="K88" s="96" t="s">
        <v>161</v>
      </c>
    </row>
    <row r="89" spans="1:11" ht="29">
      <c r="A89" s="5" t="b">
        <v>0</v>
      </c>
      <c r="B89" s="6" t="s">
        <v>38</v>
      </c>
      <c r="C89" s="6"/>
      <c r="D89" s="6" t="b">
        <v>0</v>
      </c>
      <c r="E89" s="6" t="b">
        <v>1</v>
      </c>
      <c r="F89" s="1"/>
      <c r="G89" s="94"/>
      <c r="H89" s="34"/>
      <c r="I89" s="1" t="s">
        <v>153</v>
      </c>
      <c r="J89" s="41" t="s">
        <v>20</v>
      </c>
      <c r="K89" s="96" t="s">
        <v>161</v>
      </c>
    </row>
    <row r="90" spans="1:11">
      <c r="A90" s="3"/>
      <c r="B90" s="4" t="s">
        <v>39</v>
      </c>
      <c r="C90" s="4"/>
      <c r="D90" s="4" t="b">
        <v>0</v>
      </c>
      <c r="E90" s="4" t="b">
        <v>1</v>
      </c>
      <c r="F90" s="7" t="s">
        <v>40</v>
      </c>
      <c r="G90" s="7"/>
      <c r="H90" s="7"/>
      <c r="I90" s="7"/>
      <c r="J90" s="41" t="s">
        <v>20</v>
      </c>
      <c r="K90" s="97"/>
    </row>
    <row r="91" spans="1:11" ht="29">
      <c r="A91" s="5" t="b">
        <v>0</v>
      </c>
      <c r="B91" s="6" t="s">
        <v>41</v>
      </c>
      <c r="C91" s="6"/>
      <c r="D91" s="6" t="b">
        <v>0</v>
      </c>
      <c r="E91" s="6" t="b">
        <v>1</v>
      </c>
      <c r="F91" s="1"/>
      <c r="G91" s="95"/>
      <c r="H91" s="88" t="s">
        <v>1125</v>
      </c>
      <c r="I91" s="1" t="s">
        <v>153</v>
      </c>
      <c r="J91" s="41" t="s">
        <v>20</v>
      </c>
      <c r="K91" s="96"/>
    </row>
  </sheetData>
  <mergeCells count="2">
    <mergeCell ref="G1:H1"/>
    <mergeCell ref="G2:H2"/>
  </mergeCells>
  <phoneticPr fontId="8" type="noConversion"/>
  <conditionalFormatting sqref="J41:J61">
    <cfRule type="cellIs" dxfId="108" priority="11" operator="equal">
      <formula>"Y"</formula>
    </cfRule>
  </conditionalFormatting>
  <conditionalFormatting sqref="J70:J84">
    <cfRule type="cellIs" dxfId="107" priority="10" operator="equal">
      <formula>"Y"</formula>
    </cfRule>
  </conditionalFormatting>
  <conditionalFormatting sqref="J12:J32">
    <cfRule type="cellIs" dxfId="106" priority="3" operator="equal">
      <formula>"Y"</formula>
    </cfRule>
  </conditionalFormatting>
  <conditionalFormatting sqref="J85:J91">
    <cfRule type="cellIs" dxfId="105" priority="1" operator="equal">
      <formula>"Y"</formula>
    </cfRule>
  </conditionalFormatting>
  <dataValidations count="3">
    <dataValidation type="list" allowBlank="1" showInputMessage="1" showErrorMessage="1" sqref="C2:E2 G2" xr:uid="{00000000-0002-0000-0700-000000000000}">
      <formula1>SectionNames</formula1>
    </dataValidation>
    <dataValidation type="list" allowBlank="1" showInputMessage="1" showErrorMessage="1" sqref="G36 G65 G7" xr:uid="{00000000-0002-0000-0700-000001000000}">
      <formula1>TableTypeNames</formula1>
    </dataValidation>
    <dataValidation type="list" allowBlank="1" showInputMessage="1" showErrorMessage="1" sqref="G39 G68 G10" xr:uid="{00000000-0002-0000-0700-000002000000}">
      <formula1>"None,Numbered,Bullets"</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3DC1B-7AD7-46A6-AA4E-EFB75289AF53}">
  <dimension ref="A1"/>
  <sheetViews>
    <sheetView workbookViewId="0"/>
  </sheetViews>
  <sheetFormatPr defaultRowHeight="14.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theme="1"/>
  </sheetPr>
  <dimension ref="A1:K57"/>
  <sheetViews>
    <sheetView topLeftCell="F1" zoomScaleNormal="100" workbookViewId="0">
      <selection activeCell="L19" sqref="L19"/>
    </sheetView>
  </sheetViews>
  <sheetFormatPr defaultRowHeight="14.5"/>
  <cols>
    <col min="1" max="1" width="18.453125" hidden="1" customWidth="1"/>
    <col min="2" max="2" width="21.453125" hidden="1" customWidth="1"/>
    <col min="3" max="3" width="18.453125" hidden="1" customWidth="1"/>
    <col min="4" max="5" width="12.453125" hidden="1" customWidth="1"/>
    <col min="6" max="6" width="21" customWidth="1"/>
    <col min="7" max="7" width="64.453125" customWidth="1"/>
    <col min="8" max="8" width="38.453125" customWidth="1"/>
    <col min="9" max="9" width="13.453125" customWidth="1"/>
    <col min="10" max="10" width="12.453125" customWidth="1"/>
    <col min="11" max="12" width="30.1796875" customWidth="1"/>
  </cols>
  <sheetData>
    <row r="1" spans="1:11">
      <c r="C1" s="18"/>
      <c r="D1" s="18"/>
      <c r="E1" s="18"/>
      <c r="F1" s="8" t="s">
        <v>1</v>
      </c>
      <c r="G1" s="163" t="str">
        <f>IF(Metadata!B1="","No series name entered",Metadata!B1)</f>
        <v>HP EliteBook 865 164 inch G10 Notebook PC</v>
      </c>
    </row>
    <row r="2" spans="1:11">
      <c r="F2" s="12" t="s">
        <v>2</v>
      </c>
      <c r="G2" s="1" t="s">
        <v>3</v>
      </c>
    </row>
    <row r="3" spans="1:11">
      <c r="F3" s="12" t="s">
        <v>43</v>
      </c>
      <c r="G3" s="1" t="str">
        <f>Metadata!B2</f>
        <v>Lox16</v>
      </c>
    </row>
    <row r="4" spans="1:11" ht="29">
      <c r="A4" s="8" t="s">
        <v>4</v>
      </c>
      <c r="B4" s="8" t="s">
        <v>5</v>
      </c>
      <c r="C4" s="8" t="s">
        <v>6</v>
      </c>
      <c r="D4" s="8" t="s">
        <v>113</v>
      </c>
      <c r="E4" s="8" t="s">
        <v>114</v>
      </c>
      <c r="F4" s="8" t="s">
        <v>9</v>
      </c>
      <c r="G4" s="8" t="s">
        <v>10</v>
      </c>
      <c r="H4" s="8" t="s">
        <v>11</v>
      </c>
      <c r="I4" s="8" t="s">
        <v>12</v>
      </c>
      <c r="J4" s="29" t="s">
        <v>13</v>
      </c>
      <c r="K4" s="29" t="s">
        <v>14</v>
      </c>
    </row>
    <row r="5" spans="1:11">
      <c r="A5" s="9"/>
      <c r="B5" s="10" t="s">
        <v>15</v>
      </c>
      <c r="C5" s="10"/>
      <c r="D5" s="10" t="b">
        <v>0</v>
      </c>
      <c r="E5" s="10" t="b">
        <v>1</v>
      </c>
      <c r="F5" s="11" t="s">
        <v>813</v>
      </c>
      <c r="G5" s="11"/>
      <c r="H5" s="11"/>
      <c r="I5" s="11"/>
      <c r="J5" s="11"/>
      <c r="K5" s="11"/>
    </row>
    <row r="6" spans="1:11">
      <c r="A6" s="20"/>
      <c r="B6" s="21" t="s">
        <v>17</v>
      </c>
      <c r="C6" s="21"/>
      <c r="D6" s="21" t="b">
        <v>0</v>
      </c>
      <c r="E6" s="21" t="b">
        <v>1</v>
      </c>
      <c r="F6" s="14" t="s">
        <v>18</v>
      </c>
      <c r="G6" s="14" t="s">
        <v>1126</v>
      </c>
      <c r="H6" s="14"/>
      <c r="I6" s="14"/>
      <c r="J6" s="14"/>
      <c r="K6" s="23"/>
    </row>
    <row r="7" spans="1:11" hidden="1">
      <c r="A7" s="5" t="b">
        <v>1</v>
      </c>
      <c r="B7" s="6" t="s">
        <v>21</v>
      </c>
      <c r="C7" s="6"/>
      <c r="D7" s="6" t="b">
        <v>0</v>
      </c>
      <c r="E7" s="6" t="b">
        <v>1</v>
      </c>
      <c r="F7" s="1" t="s">
        <v>22</v>
      </c>
      <c r="G7" s="1" t="s">
        <v>60</v>
      </c>
      <c r="H7" s="23"/>
      <c r="I7" s="22"/>
      <c r="J7" s="1"/>
      <c r="K7" s="23"/>
    </row>
    <row r="8" spans="1:11" hidden="1">
      <c r="A8" s="5" t="b">
        <v>0</v>
      </c>
      <c r="B8" s="6" t="s">
        <v>24</v>
      </c>
      <c r="C8" s="6"/>
      <c r="D8" s="6" t="b">
        <v>0</v>
      </c>
      <c r="E8" s="6" t="b">
        <v>1</v>
      </c>
      <c r="F8" s="1" t="s">
        <v>25</v>
      </c>
      <c r="G8" s="1">
        <v>2</v>
      </c>
      <c r="H8" s="23"/>
      <c r="I8" s="22"/>
      <c r="J8" s="1"/>
      <c r="K8" s="23"/>
    </row>
    <row r="9" spans="1:11" hidden="1">
      <c r="A9" s="5" t="b">
        <v>0</v>
      </c>
      <c r="B9" s="6" t="s">
        <v>26</v>
      </c>
      <c r="C9" s="6"/>
      <c r="D9" s="6" t="b">
        <v>0</v>
      </c>
      <c r="E9" s="6" t="b">
        <v>1</v>
      </c>
      <c r="F9" s="1" t="s">
        <v>27</v>
      </c>
      <c r="G9" s="1"/>
      <c r="H9" s="23"/>
      <c r="I9" s="22"/>
      <c r="J9" s="1"/>
      <c r="K9" s="23"/>
    </row>
    <row r="10" spans="1:11" hidden="1">
      <c r="A10" s="5" t="b">
        <v>1</v>
      </c>
      <c r="B10" s="6" t="s">
        <v>28</v>
      </c>
      <c r="C10" s="6"/>
      <c r="D10" s="6" t="b">
        <v>0</v>
      </c>
      <c r="E10" s="6" t="b">
        <v>1</v>
      </c>
      <c r="F10" s="1" t="s">
        <v>29</v>
      </c>
      <c r="G10" s="1" t="s">
        <v>30</v>
      </c>
      <c r="H10" s="23"/>
      <c r="I10" s="22"/>
      <c r="J10" s="1"/>
      <c r="K10" s="23"/>
    </row>
    <row r="11" spans="1:11" hidden="1">
      <c r="A11" s="3"/>
      <c r="B11" s="4" t="s">
        <v>31</v>
      </c>
      <c r="C11" s="4"/>
      <c r="D11" s="4" t="b">
        <v>0</v>
      </c>
      <c r="E11" s="4" t="b">
        <v>1</v>
      </c>
      <c r="F11" s="7" t="s">
        <v>32</v>
      </c>
      <c r="G11" s="7"/>
      <c r="H11" s="7"/>
      <c r="I11" s="7"/>
      <c r="J11" s="7"/>
      <c r="K11" s="7"/>
    </row>
    <row r="12" spans="1:11" ht="43.5">
      <c r="A12" s="5" t="b">
        <v>0</v>
      </c>
      <c r="B12" s="6" t="s">
        <v>33</v>
      </c>
      <c r="C12" s="6"/>
      <c r="D12" s="6" t="b">
        <v>0</v>
      </c>
      <c r="E12" s="6" t="b">
        <v>1</v>
      </c>
      <c r="F12" s="81" t="s">
        <v>1127</v>
      </c>
      <c r="G12" s="265" t="s">
        <v>1128</v>
      </c>
      <c r="H12" s="35"/>
      <c r="I12" s="1" t="s">
        <v>1129</v>
      </c>
      <c r="J12" s="41" t="s">
        <v>127</v>
      </c>
      <c r="K12" s="23"/>
    </row>
    <row r="13" spans="1:11" ht="29">
      <c r="A13" s="5" t="b">
        <v>0</v>
      </c>
      <c r="B13" s="6" t="s">
        <v>35</v>
      </c>
      <c r="C13" s="6"/>
      <c r="D13" s="6" t="b">
        <v>0</v>
      </c>
      <c r="E13" s="6" t="b">
        <v>1</v>
      </c>
      <c r="F13" s="24" t="s">
        <v>1130</v>
      </c>
      <c r="G13" s="266" t="s">
        <v>1131</v>
      </c>
      <c r="H13" s="35" t="s">
        <v>1132</v>
      </c>
      <c r="I13" s="1" t="s">
        <v>1129</v>
      </c>
      <c r="J13" s="41" t="s">
        <v>127</v>
      </c>
      <c r="K13" s="23"/>
    </row>
    <row r="14" spans="1:11" ht="29">
      <c r="A14" s="5" t="b">
        <v>0</v>
      </c>
      <c r="B14" s="6" t="s">
        <v>35</v>
      </c>
      <c r="C14" s="6"/>
      <c r="D14" s="6" t="b">
        <v>0</v>
      </c>
      <c r="E14" s="6" t="b">
        <v>1</v>
      </c>
      <c r="F14" s="24" t="s">
        <v>1133</v>
      </c>
      <c r="G14" s="192"/>
      <c r="H14" s="35"/>
      <c r="I14" s="1" t="s">
        <v>1129</v>
      </c>
      <c r="J14" s="41"/>
      <c r="K14" s="23"/>
    </row>
    <row r="15" spans="1:11">
      <c r="A15" s="5" t="b">
        <v>0</v>
      </c>
      <c r="B15" s="6" t="s">
        <v>35</v>
      </c>
      <c r="C15" s="6"/>
      <c r="D15" s="6" t="b">
        <v>0</v>
      </c>
      <c r="E15" s="6" t="b">
        <v>1</v>
      </c>
      <c r="F15" s="24" t="s">
        <v>1134</v>
      </c>
      <c r="G15" s="192" t="s">
        <v>1135</v>
      </c>
      <c r="H15" s="35"/>
      <c r="I15" s="1" t="s">
        <v>1129</v>
      </c>
      <c r="J15" s="41" t="s">
        <v>127</v>
      </c>
      <c r="K15" s="23"/>
    </row>
    <row r="16" spans="1:11">
      <c r="A16" s="5" t="b">
        <v>0</v>
      </c>
      <c r="B16" s="6" t="s">
        <v>35</v>
      </c>
      <c r="C16" s="6"/>
      <c r="D16" s="6" t="b">
        <v>0</v>
      </c>
      <c r="E16" s="6" t="b">
        <v>1</v>
      </c>
      <c r="F16" s="25" t="s">
        <v>1136</v>
      </c>
      <c r="G16" s="192" t="s">
        <v>1137</v>
      </c>
      <c r="H16" s="35" t="s">
        <v>1137</v>
      </c>
      <c r="I16" s="1" t="s">
        <v>1129</v>
      </c>
      <c r="J16" s="41" t="s">
        <v>127</v>
      </c>
      <c r="K16" s="23"/>
    </row>
    <row r="17" spans="1:11" ht="29">
      <c r="A17" s="5" t="b">
        <v>0</v>
      </c>
      <c r="B17" s="6" t="s">
        <v>35</v>
      </c>
      <c r="C17" s="6"/>
      <c r="D17" s="6" t="b">
        <v>0</v>
      </c>
      <c r="E17" s="6" t="b">
        <v>1</v>
      </c>
      <c r="F17" s="22" t="s">
        <v>1138</v>
      </c>
      <c r="G17" s="192" t="s">
        <v>1139</v>
      </c>
      <c r="H17" s="35" t="s">
        <v>1140</v>
      </c>
      <c r="I17" s="1" t="s">
        <v>1129</v>
      </c>
      <c r="J17" s="41" t="s">
        <v>127</v>
      </c>
      <c r="K17" s="23"/>
    </row>
    <row r="18" spans="1:11">
      <c r="A18" s="5" t="b">
        <v>0</v>
      </c>
      <c r="B18" s="6" t="s">
        <v>35</v>
      </c>
      <c r="C18" s="6"/>
      <c r="D18" s="6" t="b">
        <v>0</v>
      </c>
      <c r="E18" s="6" t="b">
        <v>1</v>
      </c>
      <c r="F18" s="92" t="s">
        <v>1141</v>
      </c>
      <c r="G18" s="192" t="s">
        <v>1142</v>
      </c>
      <c r="H18" s="35"/>
      <c r="I18" s="1" t="s">
        <v>1129</v>
      </c>
      <c r="J18" s="41" t="s">
        <v>20</v>
      </c>
      <c r="K18" s="23"/>
    </row>
    <row r="19" spans="1:11" ht="43.5">
      <c r="A19" s="5" t="b">
        <v>0</v>
      </c>
      <c r="B19" s="6" t="s">
        <v>35</v>
      </c>
      <c r="C19" s="6"/>
      <c r="D19" s="6" t="b">
        <v>0</v>
      </c>
      <c r="E19" s="6" t="b">
        <v>1</v>
      </c>
      <c r="F19" s="24" t="s">
        <v>1143</v>
      </c>
      <c r="G19" s="192" t="s">
        <v>1144</v>
      </c>
      <c r="H19" s="35" t="s">
        <v>1145</v>
      </c>
      <c r="I19" s="1" t="s">
        <v>1129</v>
      </c>
      <c r="J19" s="41" t="s">
        <v>127</v>
      </c>
      <c r="K19" s="23"/>
    </row>
    <row r="20" spans="1:11">
      <c r="A20" s="5" t="b">
        <v>0</v>
      </c>
      <c r="B20" s="6" t="s">
        <v>35</v>
      </c>
      <c r="C20" s="6"/>
      <c r="D20" s="6" t="b">
        <v>0</v>
      </c>
      <c r="E20" s="6" t="b">
        <v>1</v>
      </c>
      <c r="F20" s="22" t="s">
        <v>1146</v>
      </c>
      <c r="G20" s="267" t="s">
        <v>1147</v>
      </c>
      <c r="H20" s="35" t="s">
        <v>1148</v>
      </c>
      <c r="I20" s="1" t="s">
        <v>1129</v>
      </c>
      <c r="J20" s="41" t="s">
        <v>127</v>
      </c>
      <c r="K20" s="23"/>
    </row>
    <row r="21" spans="1:11">
      <c r="A21" s="5" t="b">
        <v>0</v>
      </c>
      <c r="B21" s="6" t="s">
        <v>35</v>
      </c>
      <c r="C21" s="6"/>
      <c r="D21" s="6" t="b">
        <v>0</v>
      </c>
      <c r="E21" s="6" t="b">
        <v>1</v>
      </c>
      <c r="F21" s="92" t="s">
        <v>1149</v>
      </c>
      <c r="G21" s="192" t="s">
        <v>1142</v>
      </c>
      <c r="H21" s="35"/>
      <c r="I21" s="1" t="s">
        <v>1129</v>
      </c>
      <c r="J21" s="41" t="s">
        <v>20</v>
      </c>
      <c r="K21" s="23"/>
    </row>
    <row r="22" spans="1:11">
      <c r="A22" s="5" t="b">
        <v>0</v>
      </c>
      <c r="B22" s="6" t="s">
        <v>35</v>
      </c>
      <c r="C22" s="6"/>
      <c r="D22" s="6" t="b">
        <v>0</v>
      </c>
      <c r="E22" s="6" t="b">
        <v>1</v>
      </c>
      <c r="F22" s="24" t="s">
        <v>1143</v>
      </c>
      <c r="G22" s="192" t="s">
        <v>1150</v>
      </c>
      <c r="H22" s="35" t="s">
        <v>1151</v>
      </c>
      <c r="I22" s="1" t="s">
        <v>1129</v>
      </c>
      <c r="J22" s="41" t="s">
        <v>127</v>
      </c>
      <c r="K22" s="23"/>
    </row>
    <row r="23" spans="1:11" ht="29">
      <c r="A23" s="5" t="b">
        <v>0</v>
      </c>
      <c r="B23" s="6" t="s">
        <v>35</v>
      </c>
      <c r="C23" s="6"/>
      <c r="D23" s="6" t="b">
        <v>0</v>
      </c>
      <c r="E23" s="6" t="b">
        <v>1</v>
      </c>
      <c r="F23" s="22" t="s">
        <v>1146</v>
      </c>
      <c r="G23" s="192" t="s">
        <v>1152</v>
      </c>
      <c r="H23" s="35" t="s">
        <v>1153</v>
      </c>
      <c r="I23" s="1" t="s">
        <v>1129</v>
      </c>
      <c r="J23" s="41" t="s">
        <v>127</v>
      </c>
      <c r="K23" s="23"/>
    </row>
    <row r="24" spans="1:11">
      <c r="A24" s="5" t="b">
        <v>0</v>
      </c>
      <c r="B24" s="6" t="s">
        <v>35</v>
      </c>
      <c r="C24" s="6"/>
      <c r="D24" s="6" t="b">
        <v>0</v>
      </c>
      <c r="E24" s="6" t="b">
        <v>1</v>
      </c>
      <c r="F24" s="81" t="s">
        <v>1154</v>
      </c>
      <c r="G24" s="192" t="s">
        <v>1142</v>
      </c>
      <c r="H24" s="38"/>
      <c r="I24" s="1" t="s">
        <v>1129</v>
      </c>
      <c r="J24" s="41" t="s">
        <v>20</v>
      </c>
      <c r="K24" s="23"/>
    </row>
    <row r="25" spans="1:11">
      <c r="A25" s="5" t="b">
        <v>0</v>
      </c>
      <c r="B25" s="6" t="s">
        <v>35</v>
      </c>
      <c r="C25" s="6"/>
      <c r="D25" s="6" t="b">
        <v>0</v>
      </c>
      <c r="E25" s="6" t="b">
        <v>1</v>
      </c>
      <c r="F25" s="24" t="s">
        <v>1143</v>
      </c>
      <c r="G25" s="249" t="s">
        <v>1155</v>
      </c>
      <c r="H25" s="31" t="s">
        <v>1155</v>
      </c>
      <c r="I25" s="1" t="s">
        <v>1129</v>
      </c>
      <c r="J25" s="41" t="s">
        <v>127</v>
      </c>
      <c r="K25" s="23"/>
    </row>
    <row r="26" spans="1:11">
      <c r="A26" s="5" t="b">
        <v>0</v>
      </c>
      <c r="B26" s="6" t="s">
        <v>35</v>
      </c>
      <c r="C26" s="6"/>
      <c r="D26" s="6" t="b">
        <v>0</v>
      </c>
      <c r="E26" s="6" t="b">
        <v>1</v>
      </c>
      <c r="F26" s="22" t="s">
        <v>1146</v>
      </c>
      <c r="G26" s="192" t="s">
        <v>1156</v>
      </c>
      <c r="H26" s="38" t="s">
        <v>1157</v>
      </c>
      <c r="I26" s="1" t="s">
        <v>1129</v>
      </c>
      <c r="J26" s="41" t="s">
        <v>127</v>
      </c>
      <c r="K26" s="23"/>
    </row>
    <row r="27" spans="1:11">
      <c r="A27" s="5" t="b">
        <v>0</v>
      </c>
      <c r="B27" s="6" t="s">
        <v>35</v>
      </c>
      <c r="C27" s="6"/>
      <c r="D27" s="6" t="b">
        <v>0</v>
      </c>
      <c r="E27" s="6" t="b">
        <v>1</v>
      </c>
      <c r="F27" s="91" t="s">
        <v>1158</v>
      </c>
      <c r="G27" s="192" t="s">
        <v>1142</v>
      </c>
      <c r="H27" s="35"/>
      <c r="I27" s="1" t="s">
        <v>1129</v>
      </c>
      <c r="J27" s="41" t="s">
        <v>20</v>
      </c>
      <c r="K27" s="23"/>
    </row>
    <row r="28" spans="1:11">
      <c r="A28" s="5" t="b">
        <v>0</v>
      </c>
      <c r="B28" s="6" t="s">
        <v>35</v>
      </c>
      <c r="C28" s="6"/>
      <c r="D28" s="6" t="b">
        <v>0</v>
      </c>
      <c r="E28" s="6" t="b">
        <v>1</v>
      </c>
      <c r="F28" s="24" t="s">
        <v>1143</v>
      </c>
      <c r="G28" s="192" t="s">
        <v>1159</v>
      </c>
      <c r="H28" s="38" t="s">
        <v>1160</v>
      </c>
      <c r="I28" s="1" t="s">
        <v>1129</v>
      </c>
      <c r="J28" s="41" t="s">
        <v>127</v>
      </c>
      <c r="K28" s="23"/>
    </row>
    <row r="29" spans="1:11">
      <c r="A29" s="5" t="b">
        <v>0</v>
      </c>
      <c r="B29" s="6" t="s">
        <v>35</v>
      </c>
      <c r="C29" s="6"/>
      <c r="D29" s="6" t="b">
        <v>0</v>
      </c>
      <c r="E29" s="6" t="b">
        <v>1</v>
      </c>
      <c r="F29" s="22" t="s">
        <v>1146</v>
      </c>
      <c r="G29" s="192" t="s">
        <v>1161</v>
      </c>
      <c r="H29" s="35" t="s">
        <v>1162</v>
      </c>
      <c r="I29" s="1" t="s">
        <v>1129</v>
      </c>
      <c r="J29" s="41" t="s">
        <v>127</v>
      </c>
      <c r="K29" s="23"/>
    </row>
    <row r="30" spans="1:11" ht="29">
      <c r="A30" s="5" t="b">
        <v>0</v>
      </c>
      <c r="B30" s="6" t="s">
        <v>35</v>
      </c>
      <c r="C30" s="6"/>
      <c r="D30" s="6" t="b">
        <v>0</v>
      </c>
      <c r="E30" s="6" t="b">
        <v>1</v>
      </c>
      <c r="F30" s="91" t="s">
        <v>1163</v>
      </c>
      <c r="G30" s="192" t="s">
        <v>1142</v>
      </c>
      <c r="H30" s="35"/>
      <c r="I30" s="1" t="s">
        <v>1129</v>
      </c>
      <c r="J30" s="41" t="s">
        <v>20</v>
      </c>
      <c r="K30" s="23"/>
    </row>
    <row r="31" spans="1:11">
      <c r="A31" s="5" t="b">
        <v>0</v>
      </c>
      <c r="B31" s="6" t="s">
        <v>35</v>
      </c>
      <c r="C31" s="6"/>
      <c r="D31" s="6" t="b">
        <v>0</v>
      </c>
      <c r="E31" s="6" t="b">
        <v>1</v>
      </c>
      <c r="F31" s="24" t="s">
        <v>1143</v>
      </c>
      <c r="G31" s="192" t="s">
        <v>1164</v>
      </c>
      <c r="H31" s="90" t="s">
        <v>1165</v>
      </c>
      <c r="I31" s="1" t="s">
        <v>1129</v>
      </c>
      <c r="J31" s="41" t="s">
        <v>127</v>
      </c>
      <c r="K31" s="23"/>
    </row>
    <row r="32" spans="1:11">
      <c r="A32" s="5" t="b">
        <v>0</v>
      </c>
      <c r="B32" s="6" t="s">
        <v>35</v>
      </c>
      <c r="C32" s="6"/>
      <c r="D32" s="6" t="b">
        <v>0</v>
      </c>
      <c r="E32" s="6" t="b">
        <v>1</v>
      </c>
      <c r="F32" s="22" t="s">
        <v>1146</v>
      </c>
      <c r="G32" s="192" t="s">
        <v>1166</v>
      </c>
      <c r="H32" s="90" t="s">
        <v>1167</v>
      </c>
      <c r="I32" s="1" t="s">
        <v>1129</v>
      </c>
      <c r="J32" s="41" t="s">
        <v>127</v>
      </c>
      <c r="K32" s="23"/>
    </row>
    <row r="33" spans="1:11" ht="28.5" customHeight="1">
      <c r="A33" s="5"/>
      <c r="B33" s="6" t="s">
        <v>35</v>
      </c>
      <c r="C33" s="6"/>
      <c r="D33" s="6"/>
      <c r="E33" s="6"/>
      <c r="F33" s="81" t="s">
        <v>1168</v>
      </c>
      <c r="G33" s="44"/>
      <c r="H33" s="35"/>
      <c r="I33" s="1" t="s">
        <v>1129</v>
      </c>
      <c r="J33" s="41" t="s">
        <v>20</v>
      </c>
      <c r="K33" s="23"/>
    </row>
    <row r="34" spans="1:11" ht="28.5" customHeight="1">
      <c r="A34" s="5"/>
      <c r="B34" s="6"/>
      <c r="C34" s="6"/>
      <c r="D34" s="6"/>
      <c r="E34" s="6"/>
      <c r="F34" s="24" t="s">
        <v>1169</v>
      </c>
      <c r="G34" s="192" t="s">
        <v>1170</v>
      </c>
      <c r="H34" s="35" t="s">
        <v>1171</v>
      </c>
      <c r="I34" s="1" t="s">
        <v>1129</v>
      </c>
      <c r="J34" s="41" t="s">
        <v>127</v>
      </c>
      <c r="K34" s="23"/>
    </row>
    <row r="35" spans="1:11">
      <c r="A35" s="5" t="b">
        <v>0</v>
      </c>
      <c r="B35" s="6" t="s">
        <v>35</v>
      </c>
      <c r="C35" s="6"/>
      <c r="D35" s="6" t="b">
        <v>0</v>
      </c>
      <c r="E35" s="6" t="b">
        <v>1</v>
      </c>
      <c r="F35" s="24" t="s">
        <v>1172</v>
      </c>
      <c r="G35" s="192" t="s">
        <v>1135</v>
      </c>
      <c r="H35" s="35" t="s">
        <v>1135</v>
      </c>
      <c r="I35" s="1" t="s">
        <v>1129</v>
      </c>
      <c r="J35" s="41" t="s">
        <v>127</v>
      </c>
      <c r="K35" s="23"/>
    </row>
    <row r="36" spans="1:11">
      <c r="A36" s="5" t="b">
        <v>0</v>
      </c>
      <c r="B36" s="6" t="s">
        <v>35</v>
      </c>
      <c r="C36" s="6"/>
      <c r="D36" s="6" t="b">
        <v>0</v>
      </c>
      <c r="E36" s="6" t="b">
        <v>1</v>
      </c>
      <c r="F36" s="264" t="s">
        <v>1173</v>
      </c>
      <c r="G36" s="192" t="s">
        <v>1135</v>
      </c>
      <c r="H36" s="35" t="s">
        <v>1135</v>
      </c>
      <c r="I36" s="1" t="s">
        <v>1129</v>
      </c>
      <c r="J36" s="41" t="s">
        <v>127</v>
      </c>
      <c r="K36" s="23"/>
    </row>
    <row r="37" spans="1:11">
      <c r="A37" s="5" t="b">
        <v>0</v>
      </c>
      <c r="B37" s="6" t="s">
        <v>35</v>
      </c>
      <c r="C37" s="6"/>
      <c r="D37" s="6" t="b">
        <v>0</v>
      </c>
      <c r="E37" s="6" t="b">
        <v>1</v>
      </c>
      <c r="F37" s="24" t="s">
        <v>1174</v>
      </c>
      <c r="G37" s="192" t="s">
        <v>1135</v>
      </c>
      <c r="H37" s="35" t="s">
        <v>1175</v>
      </c>
      <c r="I37" s="1" t="s">
        <v>1129</v>
      </c>
      <c r="J37" s="41" t="s">
        <v>127</v>
      </c>
      <c r="K37" s="23"/>
    </row>
    <row r="38" spans="1:11">
      <c r="A38" s="5" t="b">
        <v>0</v>
      </c>
      <c r="B38" s="6" t="s">
        <v>35</v>
      </c>
      <c r="C38" s="6"/>
      <c r="D38" s="6" t="b">
        <v>0</v>
      </c>
      <c r="E38" s="6" t="b">
        <v>1</v>
      </c>
      <c r="F38" s="24" t="s">
        <v>1176</v>
      </c>
      <c r="G38" s="192" t="s">
        <v>1135</v>
      </c>
      <c r="H38" s="35" t="s">
        <v>1177</v>
      </c>
      <c r="I38" s="1" t="s">
        <v>1129</v>
      </c>
      <c r="J38" s="41" t="s">
        <v>127</v>
      </c>
      <c r="K38" s="23"/>
    </row>
    <row r="39" spans="1:11">
      <c r="A39" s="5" t="b">
        <v>0</v>
      </c>
      <c r="B39" s="6" t="s">
        <v>35</v>
      </c>
      <c r="C39" s="6"/>
      <c r="D39" s="6" t="b">
        <v>0</v>
      </c>
      <c r="E39" s="6" t="b">
        <v>1</v>
      </c>
      <c r="F39" s="24" t="s">
        <v>1178</v>
      </c>
      <c r="G39" s="192" t="s">
        <v>1135</v>
      </c>
      <c r="H39" s="134" t="s">
        <v>1177</v>
      </c>
      <c r="I39" s="1" t="s">
        <v>1129</v>
      </c>
      <c r="J39" s="41" t="s">
        <v>127</v>
      </c>
      <c r="K39" s="23"/>
    </row>
    <row r="40" spans="1:11" ht="29">
      <c r="A40" s="5"/>
      <c r="B40" s="6"/>
      <c r="C40" s="6"/>
      <c r="D40" s="6"/>
      <c r="E40" s="6"/>
      <c r="F40" s="24" t="s">
        <v>975</v>
      </c>
      <c r="G40" s="192" t="s">
        <v>1135</v>
      </c>
      <c r="H40" s="35" t="s">
        <v>1179</v>
      </c>
      <c r="I40" s="1" t="s">
        <v>1129</v>
      </c>
      <c r="J40" s="41" t="s">
        <v>127</v>
      </c>
      <c r="K40" s="23"/>
    </row>
    <row r="41" spans="1:11">
      <c r="A41" s="5" t="b">
        <v>0</v>
      </c>
      <c r="B41" s="6" t="s">
        <v>35</v>
      </c>
      <c r="C41" s="6"/>
      <c r="D41" s="6" t="b">
        <v>0</v>
      </c>
      <c r="E41" s="6" t="b">
        <v>1</v>
      </c>
      <c r="F41" s="24" t="s">
        <v>1180</v>
      </c>
      <c r="G41" s="192" t="s">
        <v>1135</v>
      </c>
      <c r="H41" s="35" t="s">
        <v>1135</v>
      </c>
      <c r="I41" s="1" t="s">
        <v>1129</v>
      </c>
      <c r="J41" s="41" t="s">
        <v>127</v>
      </c>
      <c r="K41" s="23"/>
    </row>
    <row r="42" spans="1:11">
      <c r="A42" s="5" t="b">
        <v>0</v>
      </c>
      <c r="B42" s="6" t="s">
        <v>35</v>
      </c>
      <c r="C42" s="6"/>
      <c r="D42" s="6" t="b">
        <v>0</v>
      </c>
      <c r="E42" s="6" t="b">
        <v>1</v>
      </c>
      <c r="F42" s="24" t="s">
        <v>1181</v>
      </c>
      <c r="G42" s="192" t="s">
        <v>1135</v>
      </c>
      <c r="H42" s="35" t="s">
        <v>1135</v>
      </c>
      <c r="I42" s="1" t="s">
        <v>1129</v>
      </c>
      <c r="J42" s="41" t="s">
        <v>127</v>
      </c>
      <c r="K42" s="23"/>
    </row>
    <row r="43" spans="1:11">
      <c r="A43" s="5" t="b">
        <v>0</v>
      </c>
      <c r="B43" s="6" t="s">
        <v>35</v>
      </c>
      <c r="C43" s="6"/>
      <c r="D43" s="6" t="b">
        <v>0</v>
      </c>
      <c r="E43" s="6" t="b">
        <v>1</v>
      </c>
      <c r="F43" s="24" t="s">
        <v>1182</v>
      </c>
      <c r="G43" s="192" t="s">
        <v>1135</v>
      </c>
      <c r="H43" s="35" t="s">
        <v>1135</v>
      </c>
      <c r="I43" s="1" t="s">
        <v>1129</v>
      </c>
      <c r="J43" s="41" t="s">
        <v>127</v>
      </c>
      <c r="K43" s="23"/>
    </row>
    <row r="44" spans="1:11">
      <c r="A44" s="5" t="b">
        <v>0</v>
      </c>
      <c r="B44" s="6" t="s">
        <v>35</v>
      </c>
      <c r="C44" s="6"/>
      <c r="D44" s="6" t="b">
        <v>0</v>
      </c>
      <c r="E44" s="6" t="b">
        <v>1</v>
      </c>
      <c r="F44" s="24" t="s">
        <v>1183</v>
      </c>
      <c r="G44" s="192" t="s">
        <v>1135</v>
      </c>
      <c r="H44" s="35" t="s">
        <v>1135</v>
      </c>
      <c r="I44" s="1" t="s">
        <v>1129</v>
      </c>
      <c r="J44" s="41" t="s">
        <v>127</v>
      </c>
      <c r="K44" s="23"/>
    </row>
    <row r="45" spans="1:11">
      <c r="A45" s="5" t="b">
        <v>0</v>
      </c>
      <c r="B45" s="6" t="s">
        <v>35</v>
      </c>
      <c r="C45" s="6"/>
      <c r="D45" s="6" t="b">
        <v>0</v>
      </c>
      <c r="E45" s="6" t="b">
        <v>1</v>
      </c>
      <c r="F45" s="24" t="s">
        <v>1184</v>
      </c>
      <c r="G45" s="192" t="s">
        <v>1135</v>
      </c>
      <c r="H45" s="35" t="s">
        <v>1135</v>
      </c>
      <c r="I45" s="1" t="s">
        <v>1129</v>
      </c>
      <c r="J45" s="41" t="s">
        <v>127</v>
      </c>
      <c r="K45" s="23"/>
    </row>
    <row r="46" spans="1:11" ht="29">
      <c r="A46" s="5" t="b">
        <v>0</v>
      </c>
      <c r="B46" s="6" t="s">
        <v>35</v>
      </c>
      <c r="C46" s="6"/>
      <c r="D46" s="6" t="b">
        <v>0</v>
      </c>
      <c r="E46" s="6" t="b">
        <v>1</v>
      </c>
      <c r="F46" s="24" t="s">
        <v>1185</v>
      </c>
      <c r="G46" s="192" t="s">
        <v>1135</v>
      </c>
      <c r="H46" s="35" t="s">
        <v>1135</v>
      </c>
      <c r="I46" s="1" t="s">
        <v>1129</v>
      </c>
      <c r="J46" s="41" t="s">
        <v>127</v>
      </c>
      <c r="K46" s="23"/>
    </row>
    <row r="47" spans="1:11">
      <c r="A47" s="5" t="b">
        <v>0</v>
      </c>
      <c r="B47" s="6" t="s">
        <v>35</v>
      </c>
      <c r="C47" s="6"/>
      <c r="D47" s="6" t="b">
        <v>0</v>
      </c>
      <c r="E47" s="6" t="b">
        <v>1</v>
      </c>
      <c r="F47" s="24" t="s">
        <v>1186</v>
      </c>
      <c r="G47" s="192" t="s">
        <v>1135</v>
      </c>
      <c r="H47" s="35" t="s">
        <v>1135</v>
      </c>
      <c r="I47" s="1" t="s">
        <v>1129</v>
      </c>
      <c r="J47" s="41" t="s">
        <v>127</v>
      </c>
      <c r="K47" s="23"/>
    </row>
    <row r="48" spans="1:11">
      <c r="A48" s="5" t="b">
        <v>0</v>
      </c>
      <c r="B48" s="6" t="s">
        <v>35</v>
      </c>
      <c r="C48" s="6"/>
      <c r="D48" s="6" t="b">
        <v>0</v>
      </c>
      <c r="E48" s="6" t="b">
        <v>1</v>
      </c>
      <c r="F48" s="24" t="s">
        <v>1187</v>
      </c>
      <c r="G48" s="192" t="s">
        <v>1135</v>
      </c>
      <c r="H48" s="35" t="s">
        <v>1135</v>
      </c>
      <c r="I48" s="1" t="s">
        <v>1129</v>
      </c>
      <c r="J48" s="41" t="s">
        <v>127</v>
      </c>
      <c r="K48" s="23"/>
    </row>
    <row r="49" spans="1:11">
      <c r="A49" s="5" t="b">
        <v>0</v>
      </c>
      <c r="B49" s="6" t="s">
        <v>35</v>
      </c>
      <c r="C49" s="6"/>
      <c r="D49" s="6" t="b">
        <v>0</v>
      </c>
      <c r="E49" s="6" t="b">
        <v>1</v>
      </c>
      <c r="F49" s="24" t="s">
        <v>1188</v>
      </c>
      <c r="G49" s="192" t="s">
        <v>1135</v>
      </c>
      <c r="H49" s="35" t="s">
        <v>1135</v>
      </c>
      <c r="I49" s="1" t="s">
        <v>1129</v>
      </c>
      <c r="J49" s="41" t="s">
        <v>127</v>
      </c>
      <c r="K49" s="23"/>
    </row>
    <row r="50" spans="1:11">
      <c r="A50" s="5"/>
      <c r="B50" s="6"/>
      <c r="C50" s="6"/>
      <c r="D50" s="6"/>
      <c r="E50" s="6"/>
      <c r="F50" s="24"/>
      <c r="G50" s="44"/>
      <c r="H50" s="35"/>
      <c r="I50" s="1" t="s">
        <v>1129</v>
      </c>
      <c r="J50" s="41" t="s">
        <v>20</v>
      </c>
      <c r="K50" s="23"/>
    </row>
    <row r="51" spans="1:11">
      <c r="A51" s="5" t="b">
        <v>0</v>
      </c>
      <c r="B51" s="6" t="s">
        <v>35</v>
      </c>
      <c r="C51" s="6"/>
      <c r="D51" s="6" t="b">
        <v>0</v>
      </c>
      <c r="E51" s="6" t="b">
        <v>1</v>
      </c>
      <c r="F51" s="24"/>
      <c r="G51" s="44"/>
      <c r="H51" s="35"/>
      <c r="I51" s="1" t="s">
        <v>1129</v>
      </c>
      <c r="J51" s="41" t="s">
        <v>20</v>
      </c>
      <c r="K51" s="23"/>
    </row>
    <row r="52" spans="1:11">
      <c r="A52" s="5" t="b">
        <v>0</v>
      </c>
      <c r="B52" s="6" t="s">
        <v>35</v>
      </c>
      <c r="C52" s="6"/>
      <c r="D52" s="6" t="b">
        <v>0</v>
      </c>
      <c r="E52" s="6" t="b">
        <v>1</v>
      </c>
      <c r="F52" s="24"/>
      <c r="G52" s="44"/>
      <c r="H52" s="35"/>
      <c r="I52" s="1" t="s">
        <v>1129</v>
      </c>
      <c r="J52" s="41" t="s">
        <v>20</v>
      </c>
      <c r="K52" s="23"/>
    </row>
    <row r="53" spans="1:11">
      <c r="A53" s="5" t="b">
        <v>0</v>
      </c>
      <c r="B53" s="6" t="s">
        <v>35</v>
      </c>
      <c r="C53" s="6"/>
      <c r="D53" s="6" t="b">
        <v>0</v>
      </c>
      <c r="E53" s="6" t="b">
        <v>1</v>
      </c>
      <c r="F53" s="24"/>
      <c r="G53" s="44"/>
      <c r="H53" s="35"/>
      <c r="I53" s="1" t="s">
        <v>1129</v>
      </c>
      <c r="J53" s="41" t="s">
        <v>20</v>
      </c>
      <c r="K53" s="23"/>
    </row>
    <row r="54" spans="1:11">
      <c r="A54" s="5" t="b">
        <v>0</v>
      </c>
      <c r="B54" s="6" t="s">
        <v>35</v>
      </c>
      <c r="C54" s="6"/>
      <c r="D54" s="6" t="b">
        <v>0</v>
      </c>
      <c r="E54" s="6" t="b">
        <v>1</v>
      </c>
      <c r="F54" s="24"/>
      <c r="G54" s="44"/>
      <c r="H54" s="35"/>
      <c r="I54" s="1" t="s">
        <v>1129</v>
      </c>
      <c r="J54" s="41" t="s">
        <v>20</v>
      </c>
      <c r="K54" s="23"/>
    </row>
    <row r="55" spans="1:11">
      <c r="A55" s="7"/>
      <c r="B55" s="7"/>
      <c r="C55" s="7"/>
      <c r="D55" s="7"/>
      <c r="E55" s="7"/>
      <c r="F55" s="7" t="s">
        <v>37</v>
      </c>
      <c r="G55" s="7"/>
      <c r="H55" s="4"/>
      <c r="I55" s="4"/>
      <c r="J55" s="4"/>
      <c r="K55" s="4"/>
    </row>
    <row r="56" spans="1:11" ht="72.5">
      <c r="A56" s="5" t="b">
        <v>0</v>
      </c>
      <c r="B56" s="6" t="s">
        <v>35</v>
      </c>
      <c r="C56" s="6"/>
      <c r="D56" s="6" t="b">
        <v>0</v>
      </c>
      <c r="E56" s="6" t="b">
        <v>1</v>
      </c>
      <c r="F56" s="1"/>
      <c r="G56" s="98"/>
      <c r="H56" s="35" t="s">
        <v>1189</v>
      </c>
      <c r="I56" s="1" t="s">
        <v>1129</v>
      </c>
      <c r="J56" s="41" t="s">
        <v>20</v>
      </c>
      <c r="K56" s="82" t="s">
        <v>161</v>
      </c>
    </row>
    <row r="57" spans="1:11" ht="58">
      <c r="A57" s="5" t="b">
        <v>0</v>
      </c>
      <c r="B57" s="6" t="s">
        <v>35</v>
      </c>
      <c r="C57" s="6"/>
      <c r="D57" s="6" t="b">
        <v>0</v>
      </c>
      <c r="E57" s="6" t="b">
        <v>1</v>
      </c>
      <c r="F57" s="1"/>
      <c r="G57" s="98"/>
      <c r="H57" s="134" t="s">
        <v>1190</v>
      </c>
      <c r="I57" s="1" t="s">
        <v>1129</v>
      </c>
      <c r="J57" s="41" t="s">
        <v>20</v>
      </c>
      <c r="K57" s="82" t="s">
        <v>161</v>
      </c>
    </row>
  </sheetData>
  <conditionalFormatting sqref="J12:J33 J35:J49 J51:J54">
    <cfRule type="cellIs" dxfId="104" priority="4" operator="equal">
      <formula>"Y"</formula>
    </cfRule>
  </conditionalFormatting>
  <conditionalFormatting sqref="J56:J57">
    <cfRule type="cellIs" dxfId="103" priority="3" operator="equal">
      <formula>"Y"</formula>
    </cfRule>
  </conditionalFormatting>
  <conditionalFormatting sqref="J34">
    <cfRule type="cellIs" dxfId="102" priority="2" operator="equal">
      <formula>"Y"</formula>
    </cfRule>
  </conditionalFormatting>
  <conditionalFormatting sqref="J50">
    <cfRule type="cellIs" dxfId="101" priority="1" operator="equal">
      <formula>"Y"</formula>
    </cfRule>
  </conditionalFormatting>
  <dataValidations count="3">
    <dataValidation type="list" allowBlank="1" showInputMessage="1" showErrorMessage="1" sqref="G7" xr:uid="{00000000-0002-0000-0900-000000000000}">
      <formula1>TableTypeNames</formula1>
    </dataValidation>
    <dataValidation type="list" allowBlank="1" showInputMessage="1" showErrorMessage="1" sqref="G10" xr:uid="{00000000-0002-0000-0900-000001000000}">
      <formula1>"None,Numbered,Bullets"</formula1>
    </dataValidation>
    <dataValidation type="list" allowBlank="1" showInputMessage="1" showErrorMessage="1" sqref="C2:E2 G2" xr:uid="{00000000-0002-0000-0900-000002000000}">
      <formula1>SectionNames</formula1>
    </dataValidation>
  </dataValidations>
  <hyperlinks>
    <hyperlink ref="H57" r:id="rId1" display="http://www.epeat.net/" xr:uid="{00000000-0004-0000-0900-000000000000}"/>
  </hyperlinks>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1:K325"/>
  <sheetViews>
    <sheetView topLeftCell="F1" zoomScaleNormal="100" workbookViewId="0">
      <selection activeCell="G6" sqref="G6"/>
    </sheetView>
  </sheetViews>
  <sheetFormatPr defaultRowHeight="14.5"/>
  <cols>
    <col min="1" max="1" width="18.54296875" hidden="1" customWidth="1"/>
    <col min="2" max="2" width="21.453125" hidden="1" customWidth="1"/>
    <col min="3" max="3" width="18.54296875" hidden="1" customWidth="1"/>
    <col min="4" max="5" width="12.453125" hidden="1" customWidth="1"/>
    <col min="6" max="6" width="29.1796875" customWidth="1"/>
    <col min="7" max="7" width="64.54296875" customWidth="1"/>
    <col min="8" max="8" width="47.81640625" customWidth="1"/>
    <col min="9" max="9" width="18.453125" customWidth="1"/>
    <col min="10" max="10" width="11.54296875" customWidth="1"/>
    <col min="11" max="11" width="29.81640625" customWidth="1"/>
  </cols>
  <sheetData>
    <row r="1" spans="1:11">
      <c r="C1" s="18"/>
      <c r="D1" s="18"/>
      <c r="E1" s="18"/>
      <c r="F1" s="8" t="s">
        <v>1</v>
      </c>
      <c r="G1" s="454" t="str">
        <f>IF(Metadata!B1="","No series name entered",Metadata!B1)</f>
        <v>HP EliteBook 865 164 inch G10 Notebook PC</v>
      </c>
      <c r="H1" s="454"/>
    </row>
    <row r="2" spans="1:11">
      <c r="F2" s="12" t="s">
        <v>2</v>
      </c>
      <c r="G2" s="272" t="s">
        <v>3</v>
      </c>
      <c r="H2" s="272"/>
    </row>
    <row r="3" spans="1:11">
      <c r="F3" s="12" t="s">
        <v>43</v>
      </c>
      <c r="G3" s="136" t="str">
        <f>Metadata!B2</f>
        <v>Lox16</v>
      </c>
    </row>
    <row r="4" spans="1:11" ht="29">
      <c r="A4" s="8" t="s">
        <v>4</v>
      </c>
      <c r="B4" s="8" t="s">
        <v>5</v>
      </c>
      <c r="C4" s="8" t="s">
        <v>6</v>
      </c>
      <c r="D4" s="8" t="s">
        <v>113</v>
      </c>
      <c r="E4" s="8" t="s">
        <v>114</v>
      </c>
      <c r="F4" s="8" t="s">
        <v>9</v>
      </c>
      <c r="G4" s="8" t="s">
        <v>10</v>
      </c>
      <c r="H4" s="8" t="s">
        <v>11</v>
      </c>
      <c r="I4" s="8" t="s">
        <v>12</v>
      </c>
      <c r="J4" s="29" t="s">
        <v>13</v>
      </c>
      <c r="K4" s="29" t="s">
        <v>14</v>
      </c>
    </row>
    <row r="5" spans="1:11">
      <c r="A5" s="9"/>
      <c r="B5" s="10" t="s">
        <v>15</v>
      </c>
      <c r="C5" s="10"/>
      <c r="D5" s="10" t="b">
        <v>0</v>
      </c>
      <c r="E5" s="10" t="b">
        <v>1</v>
      </c>
      <c r="F5" s="11" t="s">
        <v>1191</v>
      </c>
      <c r="G5" s="11"/>
      <c r="H5" s="11"/>
      <c r="I5" s="11"/>
      <c r="J5" s="11"/>
      <c r="K5" s="11"/>
    </row>
    <row r="6" spans="1:11" ht="29">
      <c r="A6" s="20"/>
      <c r="B6" s="14" t="s">
        <v>17</v>
      </c>
      <c r="C6" s="14"/>
      <c r="D6" s="14" t="b">
        <v>0</v>
      </c>
      <c r="E6" s="14" t="b">
        <v>1</v>
      </c>
      <c r="F6" s="14" t="s">
        <v>18</v>
      </c>
      <c r="G6" s="73" t="s">
        <v>1192</v>
      </c>
      <c r="H6" s="14" t="s">
        <v>1193</v>
      </c>
      <c r="I6" s="1" t="s">
        <v>1129</v>
      </c>
      <c r="J6" s="41" t="s">
        <v>127</v>
      </c>
      <c r="K6" s="144"/>
    </row>
    <row r="7" spans="1:11" hidden="1">
      <c r="A7" s="5" t="b">
        <v>1</v>
      </c>
      <c r="B7" s="6" t="s">
        <v>21</v>
      </c>
      <c r="C7" s="6"/>
      <c r="D7" s="6" t="b">
        <v>0</v>
      </c>
      <c r="E7" s="6" t="b">
        <v>1</v>
      </c>
      <c r="F7" s="1" t="s">
        <v>22</v>
      </c>
      <c r="G7" s="17" t="s">
        <v>60</v>
      </c>
      <c r="H7" s="23"/>
      <c r="I7" s="1"/>
      <c r="J7" s="41" t="s">
        <v>127</v>
      </c>
      <c r="K7" s="144"/>
    </row>
    <row r="8" spans="1:11" hidden="1">
      <c r="A8" s="5" t="b">
        <v>0</v>
      </c>
      <c r="B8" s="6" t="s">
        <v>24</v>
      </c>
      <c r="C8" s="6"/>
      <c r="D8" s="6" t="b">
        <v>0</v>
      </c>
      <c r="E8" s="6" t="b">
        <v>1</v>
      </c>
      <c r="F8" s="1" t="s">
        <v>25</v>
      </c>
      <c r="G8" s="17">
        <v>2</v>
      </c>
      <c r="H8" s="23"/>
      <c r="I8" s="1"/>
      <c r="J8" s="41" t="s">
        <v>127</v>
      </c>
      <c r="K8" s="144"/>
    </row>
    <row r="9" spans="1:11" hidden="1">
      <c r="A9" s="5" t="b">
        <v>0</v>
      </c>
      <c r="B9" s="6" t="s">
        <v>26</v>
      </c>
      <c r="C9" s="6"/>
      <c r="D9" s="6" t="b">
        <v>0</v>
      </c>
      <c r="E9" s="6" t="b">
        <v>1</v>
      </c>
      <c r="F9" s="1" t="s">
        <v>27</v>
      </c>
      <c r="G9" s="17"/>
      <c r="H9" s="23"/>
      <c r="I9" s="1"/>
      <c r="J9" s="41" t="s">
        <v>127</v>
      </c>
      <c r="K9" s="144"/>
    </row>
    <row r="10" spans="1:11" hidden="1">
      <c r="A10" s="5" t="b">
        <v>1</v>
      </c>
      <c r="B10" s="6" t="s">
        <v>28</v>
      </c>
      <c r="C10" s="6"/>
      <c r="D10" s="6" t="b">
        <v>0</v>
      </c>
      <c r="E10" s="6" t="b">
        <v>1</v>
      </c>
      <c r="F10" s="1" t="s">
        <v>29</v>
      </c>
      <c r="G10" s="17" t="s">
        <v>30</v>
      </c>
      <c r="H10" s="23"/>
      <c r="I10" s="1"/>
      <c r="J10" s="41" t="s">
        <v>127</v>
      </c>
      <c r="K10" s="144"/>
    </row>
    <row r="11" spans="1:11" hidden="1">
      <c r="A11" s="3"/>
      <c r="B11" s="4" t="s">
        <v>31</v>
      </c>
      <c r="C11" s="4"/>
      <c r="D11" s="4" t="b">
        <v>0</v>
      </c>
      <c r="E11" s="4" t="b">
        <v>1</v>
      </c>
      <c r="F11" s="7" t="s">
        <v>32</v>
      </c>
      <c r="G11" s="244"/>
      <c r="H11" s="7"/>
      <c r="I11" s="7"/>
      <c r="J11" s="41" t="s">
        <v>127</v>
      </c>
      <c r="K11" s="144"/>
    </row>
    <row r="12" spans="1:11" ht="28.5">
      <c r="A12" s="5" t="b">
        <v>0</v>
      </c>
      <c r="B12" s="6" t="s">
        <v>35</v>
      </c>
      <c r="C12" s="6"/>
      <c r="D12" s="6" t="b">
        <v>0</v>
      </c>
      <c r="E12" s="6" t="b">
        <v>1</v>
      </c>
      <c r="F12" s="1" t="s">
        <v>1194</v>
      </c>
      <c r="G12" s="243" t="s">
        <v>1195</v>
      </c>
      <c r="H12" s="137" t="s">
        <v>1196</v>
      </c>
      <c r="I12" s="1" t="s">
        <v>1129</v>
      </c>
      <c r="J12" s="41" t="s">
        <v>127</v>
      </c>
      <c r="K12" s="145" t="s">
        <v>1197</v>
      </c>
    </row>
    <row r="13" spans="1:11" ht="42.5">
      <c r="A13" s="5" t="b">
        <v>0</v>
      </c>
      <c r="B13" s="6" t="s">
        <v>35</v>
      </c>
      <c r="C13" s="6"/>
      <c r="D13" s="6" t="b">
        <v>0</v>
      </c>
      <c r="E13" s="6" t="b">
        <v>1</v>
      </c>
      <c r="F13" s="1" t="s">
        <v>1198</v>
      </c>
      <c r="G13" s="243" t="s">
        <v>1199</v>
      </c>
      <c r="H13" s="138" t="s">
        <v>1200</v>
      </c>
      <c r="I13" s="1" t="s">
        <v>1129</v>
      </c>
      <c r="J13" s="41" t="s">
        <v>127</v>
      </c>
      <c r="K13" s="146" t="s">
        <v>1201</v>
      </c>
    </row>
    <row r="14" spans="1:11">
      <c r="A14" s="5" t="b">
        <v>0</v>
      </c>
      <c r="B14" s="6" t="s">
        <v>35</v>
      </c>
      <c r="C14" s="6"/>
      <c r="D14" s="6" t="b">
        <v>0</v>
      </c>
      <c r="E14" s="6" t="b">
        <v>1</v>
      </c>
      <c r="F14" s="1" t="s">
        <v>1202</v>
      </c>
      <c r="G14" s="243" t="s">
        <v>1203</v>
      </c>
      <c r="H14" s="138" t="s">
        <v>1204</v>
      </c>
      <c r="I14" s="1" t="s">
        <v>1129</v>
      </c>
      <c r="J14" s="41" t="s">
        <v>127</v>
      </c>
      <c r="K14" s="146" t="s">
        <v>1205</v>
      </c>
    </row>
    <row r="15" spans="1:11">
      <c r="A15" s="5" t="b">
        <v>0</v>
      </c>
      <c r="B15" s="6" t="s">
        <v>35</v>
      </c>
      <c r="C15" s="6"/>
      <c r="D15" s="6" t="b">
        <v>0</v>
      </c>
      <c r="E15" s="6" t="b">
        <v>1</v>
      </c>
      <c r="F15" s="1" t="s">
        <v>1206</v>
      </c>
      <c r="G15" s="243">
        <v>16</v>
      </c>
      <c r="H15" s="138" t="s">
        <v>1207</v>
      </c>
      <c r="I15" s="1" t="s">
        <v>1129</v>
      </c>
      <c r="J15" s="41" t="s">
        <v>127</v>
      </c>
      <c r="K15" s="146" t="s">
        <v>1208</v>
      </c>
    </row>
    <row r="16" spans="1:11" ht="70.5">
      <c r="A16" s="5" t="b">
        <v>0</v>
      </c>
      <c r="B16" s="6" t="s">
        <v>35</v>
      </c>
      <c r="C16" s="6"/>
      <c r="D16" s="6" t="b">
        <v>0</v>
      </c>
      <c r="E16" s="6" t="b">
        <v>1</v>
      </c>
      <c r="F16" s="1" t="s">
        <v>1209</v>
      </c>
      <c r="G16" s="243" t="s">
        <v>1210</v>
      </c>
      <c r="H16" s="138" t="s">
        <v>1211</v>
      </c>
      <c r="I16" s="1" t="s">
        <v>1129</v>
      </c>
      <c r="J16" s="41" t="s">
        <v>127</v>
      </c>
      <c r="K16" s="146" t="s">
        <v>1212</v>
      </c>
    </row>
    <row r="17" spans="1:11" ht="28.5">
      <c r="A17" s="5" t="b">
        <v>0</v>
      </c>
      <c r="B17" s="6" t="s">
        <v>35</v>
      </c>
      <c r="C17" s="6"/>
      <c r="D17" s="6" t="b">
        <v>0</v>
      </c>
      <c r="E17" s="6" t="b">
        <v>1</v>
      </c>
      <c r="F17" s="1" t="s">
        <v>1213</v>
      </c>
      <c r="G17" s="243" t="s">
        <v>1214</v>
      </c>
      <c r="H17" s="138" t="s">
        <v>1215</v>
      </c>
      <c r="I17" s="1" t="s">
        <v>1129</v>
      </c>
      <c r="J17" s="41" t="s">
        <v>127</v>
      </c>
      <c r="K17" s="146" t="s">
        <v>1216</v>
      </c>
    </row>
    <row r="18" spans="1:11">
      <c r="A18" s="5"/>
      <c r="B18" s="6"/>
      <c r="C18" s="6"/>
      <c r="D18" s="6" t="b">
        <v>0</v>
      </c>
      <c r="E18" s="6" t="b">
        <v>1</v>
      </c>
      <c r="F18" s="1" t="s">
        <v>1217</v>
      </c>
      <c r="G18" s="243" t="s">
        <v>1218</v>
      </c>
      <c r="H18" s="138" t="s">
        <v>1219</v>
      </c>
      <c r="I18" s="1" t="s">
        <v>1129</v>
      </c>
      <c r="J18" s="41" t="s">
        <v>127</v>
      </c>
      <c r="K18" s="146" t="s">
        <v>1219</v>
      </c>
    </row>
    <row r="19" spans="1:11">
      <c r="A19" s="5" t="b">
        <v>0</v>
      </c>
      <c r="B19" s="6" t="s">
        <v>35</v>
      </c>
      <c r="C19" s="6"/>
      <c r="D19" s="6" t="b">
        <v>0</v>
      </c>
      <c r="E19" s="6" t="b">
        <v>1</v>
      </c>
      <c r="F19" s="89" t="s">
        <v>1220</v>
      </c>
      <c r="G19" s="245" t="s">
        <v>1221</v>
      </c>
      <c r="H19" s="138" t="s">
        <v>1222</v>
      </c>
      <c r="I19" s="1" t="s">
        <v>1129</v>
      </c>
      <c r="J19" s="41" t="s">
        <v>127</v>
      </c>
      <c r="K19" s="146" t="s">
        <v>1223</v>
      </c>
    </row>
    <row r="20" spans="1:11">
      <c r="A20" s="5" t="b">
        <v>0</v>
      </c>
      <c r="B20" s="6" t="s">
        <v>35</v>
      </c>
      <c r="C20" s="6"/>
      <c r="D20" s="6" t="b">
        <v>0</v>
      </c>
      <c r="E20" s="6" t="b">
        <v>1</v>
      </c>
      <c r="F20" s="1" t="s">
        <v>1224</v>
      </c>
      <c r="G20" s="243" t="s">
        <v>1225</v>
      </c>
      <c r="H20" s="138" t="s">
        <v>1226</v>
      </c>
      <c r="I20" s="1" t="s">
        <v>1129</v>
      </c>
      <c r="J20" s="41" t="s">
        <v>127</v>
      </c>
      <c r="K20" s="146" t="s">
        <v>1227</v>
      </c>
    </row>
    <row r="21" spans="1:11">
      <c r="A21" s="5" t="b">
        <v>0</v>
      </c>
      <c r="B21" s="6" t="s">
        <v>35</v>
      </c>
      <c r="C21" s="6"/>
      <c r="D21" s="6" t="b">
        <v>0</v>
      </c>
      <c r="E21" s="6" t="b">
        <v>1</v>
      </c>
      <c r="F21" s="1" t="s">
        <v>1228</v>
      </c>
      <c r="G21" s="243" t="s">
        <v>1229</v>
      </c>
      <c r="H21" s="138" t="s">
        <v>1230</v>
      </c>
      <c r="I21" s="1" t="s">
        <v>1129</v>
      </c>
      <c r="J21" s="41" t="s">
        <v>127</v>
      </c>
      <c r="K21" s="146" t="s">
        <v>1231</v>
      </c>
    </row>
    <row r="22" spans="1:11">
      <c r="A22" s="5" t="b">
        <v>0</v>
      </c>
      <c r="B22" s="6" t="s">
        <v>35</v>
      </c>
      <c r="C22" s="6"/>
      <c r="D22" s="6" t="b">
        <v>0</v>
      </c>
      <c r="E22" s="6" t="b">
        <v>1</v>
      </c>
      <c r="F22" s="1" t="s">
        <v>1232</v>
      </c>
      <c r="G22" s="243" t="s">
        <v>1233</v>
      </c>
      <c r="H22" s="138" t="s">
        <v>1234</v>
      </c>
      <c r="I22" s="1" t="s">
        <v>1129</v>
      </c>
      <c r="J22" s="41" t="s">
        <v>127</v>
      </c>
      <c r="K22" s="146" t="s">
        <v>1235</v>
      </c>
    </row>
    <row r="23" spans="1:11" ht="56.5">
      <c r="A23" s="5" t="b">
        <v>0</v>
      </c>
      <c r="B23" s="6" t="s">
        <v>35</v>
      </c>
      <c r="C23" s="6"/>
      <c r="D23" s="6" t="b">
        <v>0</v>
      </c>
      <c r="E23" s="6" t="b">
        <v>1</v>
      </c>
      <c r="F23" s="1" t="s">
        <v>1236</v>
      </c>
      <c r="G23" s="243" t="s">
        <v>1237</v>
      </c>
      <c r="H23" s="138" t="s">
        <v>1238</v>
      </c>
      <c r="I23" s="1" t="s">
        <v>1129</v>
      </c>
      <c r="J23" s="41" t="s">
        <v>127</v>
      </c>
      <c r="K23" s="146" t="s">
        <v>1239</v>
      </c>
    </row>
    <row r="24" spans="1:11" ht="42.5">
      <c r="A24" s="5" t="b">
        <v>0</v>
      </c>
      <c r="B24" s="6" t="s">
        <v>35</v>
      </c>
      <c r="C24" s="6"/>
      <c r="D24" s="6" t="b">
        <v>0</v>
      </c>
      <c r="E24" s="6" t="b">
        <v>1</v>
      </c>
      <c r="F24" s="1" t="s">
        <v>1240</v>
      </c>
      <c r="G24" s="243" t="s">
        <v>1241</v>
      </c>
      <c r="H24" s="139" t="s">
        <v>1242</v>
      </c>
      <c r="I24" s="1" t="s">
        <v>1129</v>
      </c>
      <c r="J24" s="41" t="s">
        <v>127</v>
      </c>
      <c r="K24" s="147" t="s">
        <v>1242</v>
      </c>
    </row>
    <row r="25" spans="1:11">
      <c r="A25" s="5" t="b">
        <v>0</v>
      </c>
      <c r="B25" s="6" t="s">
        <v>35</v>
      </c>
      <c r="C25" s="6"/>
      <c r="D25" s="6" t="b">
        <v>0</v>
      </c>
      <c r="E25" s="6" t="b">
        <v>1</v>
      </c>
      <c r="F25" s="1" t="s">
        <v>1243</v>
      </c>
      <c r="G25" s="243" t="s">
        <v>1244</v>
      </c>
      <c r="H25" s="137" t="s">
        <v>1245</v>
      </c>
      <c r="I25" s="1" t="s">
        <v>1129</v>
      </c>
      <c r="J25" s="41" t="s">
        <v>127</v>
      </c>
      <c r="K25" s="146" t="s">
        <v>1246</v>
      </c>
    </row>
    <row r="26" spans="1:11" ht="112.5">
      <c r="A26" s="5" t="b">
        <v>0</v>
      </c>
      <c r="B26" s="6" t="s">
        <v>35</v>
      </c>
      <c r="C26" s="6"/>
      <c r="D26" s="6" t="b">
        <v>0</v>
      </c>
      <c r="E26" s="6" t="b">
        <v>1</v>
      </c>
      <c r="F26" s="1" t="s">
        <v>1247</v>
      </c>
      <c r="G26" s="243" t="s">
        <v>1248</v>
      </c>
      <c r="H26" s="138" t="s">
        <v>1249</v>
      </c>
      <c r="I26" s="1" t="s">
        <v>1129</v>
      </c>
      <c r="J26" s="41" t="s">
        <v>127</v>
      </c>
      <c r="K26" s="146" t="s">
        <v>1250</v>
      </c>
    </row>
    <row r="27" spans="1:11" ht="140.5">
      <c r="A27" s="5" t="b">
        <v>0</v>
      </c>
      <c r="B27" s="6" t="s">
        <v>35</v>
      </c>
      <c r="C27" s="6"/>
      <c r="D27" s="6" t="b">
        <v>0</v>
      </c>
      <c r="E27" s="6" t="b">
        <v>1</v>
      </c>
      <c r="F27" s="1" t="s">
        <v>1251</v>
      </c>
      <c r="G27" s="243" t="s">
        <v>1252</v>
      </c>
      <c r="H27" s="158" t="s">
        <v>1253</v>
      </c>
      <c r="I27" s="1" t="s">
        <v>1129</v>
      </c>
      <c r="J27" s="41" t="s">
        <v>127</v>
      </c>
      <c r="K27" s="146" t="s">
        <v>1253</v>
      </c>
    </row>
    <row r="28" spans="1:11" ht="42.5">
      <c r="A28" s="5" t="b">
        <v>0</v>
      </c>
      <c r="B28" s="6" t="s">
        <v>35</v>
      </c>
      <c r="C28" s="6"/>
      <c r="D28" s="6" t="b">
        <v>0</v>
      </c>
      <c r="E28" s="6" t="b">
        <v>1</v>
      </c>
      <c r="F28" s="1" t="s">
        <v>1254</v>
      </c>
      <c r="G28" s="243" t="s">
        <v>1255</v>
      </c>
      <c r="H28" s="138" t="s">
        <v>1256</v>
      </c>
      <c r="I28" s="1" t="s">
        <v>1129</v>
      </c>
      <c r="J28" s="41" t="s">
        <v>127</v>
      </c>
      <c r="K28" s="146" t="s">
        <v>1257</v>
      </c>
    </row>
    <row r="29" spans="1:11">
      <c r="A29" s="5"/>
      <c r="B29" s="6"/>
      <c r="C29" s="6"/>
      <c r="D29" s="6"/>
      <c r="E29" s="6"/>
      <c r="F29" s="140" t="s">
        <v>1258</v>
      </c>
      <c r="G29" s="243" t="s">
        <v>1135</v>
      </c>
      <c r="H29" s="142" t="s">
        <v>1222</v>
      </c>
      <c r="I29" s="1"/>
      <c r="J29" s="41" t="s">
        <v>127</v>
      </c>
      <c r="K29" s="146" t="s">
        <v>1222</v>
      </c>
    </row>
    <row r="30" spans="1:11" ht="42.5">
      <c r="A30" s="5"/>
      <c r="B30" s="6"/>
      <c r="C30" s="6"/>
      <c r="D30" s="6"/>
      <c r="E30" s="6"/>
      <c r="F30" s="141" t="s">
        <v>1259</v>
      </c>
      <c r="G30" s="243" t="s">
        <v>1260</v>
      </c>
      <c r="H30" s="143" t="s">
        <v>1261</v>
      </c>
      <c r="I30" s="1"/>
      <c r="J30" s="41" t="s">
        <v>127</v>
      </c>
      <c r="K30" s="146" t="s">
        <v>1262</v>
      </c>
    </row>
    <row r="31" spans="1:11">
      <c r="A31" s="7"/>
      <c r="B31" s="7" t="s">
        <v>35</v>
      </c>
      <c r="C31" s="7"/>
      <c r="D31" s="7" t="b">
        <v>0</v>
      </c>
      <c r="E31" s="7" t="b">
        <v>1</v>
      </c>
      <c r="F31" s="7" t="s">
        <v>37</v>
      </c>
      <c r="G31" s="244"/>
      <c r="H31" s="4"/>
      <c r="I31" s="4"/>
      <c r="J31" s="4"/>
      <c r="K31" s="4"/>
    </row>
    <row r="32" spans="1:11" ht="29">
      <c r="A32" s="5" t="b">
        <v>0</v>
      </c>
      <c r="B32" s="6" t="s">
        <v>35</v>
      </c>
      <c r="C32" s="6"/>
      <c r="D32" s="6" t="b">
        <v>0</v>
      </c>
      <c r="E32" s="6" t="b">
        <v>1</v>
      </c>
      <c r="F32" s="1"/>
      <c r="G32" s="246"/>
      <c r="H32" s="35"/>
      <c r="I32" s="1" t="s">
        <v>1129</v>
      </c>
      <c r="J32" s="41" t="s">
        <v>20</v>
      </c>
      <c r="K32" s="82" t="s">
        <v>161</v>
      </c>
    </row>
    <row r="33" spans="1:11" ht="29">
      <c r="A33" s="8" t="s">
        <v>4</v>
      </c>
      <c r="B33" s="8" t="s">
        <v>5</v>
      </c>
      <c r="C33" s="8" t="s">
        <v>6</v>
      </c>
      <c r="D33" s="8" t="s">
        <v>113</v>
      </c>
      <c r="E33" s="8" t="s">
        <v>114</v>
      </c>
      <c r="F33" s="8" t="s">
        <v>9</v>
      </c>
      <c r="G33" s="151" t="s">
        <v>10</v>
      </c>
      <c r="H33" s="8" t="s">
        <v>11</v>
      </c>
      <c r="I33" s="8" t="s">
        <v>12</v>
      </c>
      <c r="J33" s="29" t="s">
        <v>13</v>
      </c>
      <c r="K33" s="29" t="s">
        <v>14</v>
      </c>
    </row>
    <row r="34" spans="1:11">
      <c r="A34" s="9"/>
      <c r="B34" s="10" t="s">
        <v>15</v>
      </c>
      <c r="C34" s="10"/>
      <c r="D34" s="10" t="b">
        <v>0</v>
      </c>
      <c r="E34" s="10" t="b">
        <v>1</v>
      </c>
      <c r="F34" s="11" t="s">
        <v>1191</v>
      </c>
      <c r="G34" s="247"/>
      <c r="H34" s="11"/>
      <c r="I34" s="11"/>
      <c r="J34" s="11"/>
      <c r="K34" s="11"/>
    </row>
    <row r="35" spans="1:11" ht="29">
      <c r="A35" s="20"/>
      <c r="B35" s="14" t="s">
        <v>17</v>
      </c>
      <c r="C35" s="14"/>
      <c r="D35" s="14" t="b">
        <v>0</v>
      </c>
      <c r="E35" s="14" t="b">
        <v>1</v>
      </c>
      <c r="F35" s="14" t="s">
        <v>18</v>
      </c>
      <c r="G35" s="73" t="s">
        <v>1263</v>
      </c>
      <c r="H35" s="14" t="s">
        <v>1193</v>
      </c>
      <c r="I35" s="1" t="s">
        <v>1129</v>
      </c>
      <c r="J35" s="41" t="s">
        <v>127</v>
      </c>
      <c r="K35" s="144"/>
    </row>
    <row r="36" spans="1:11" hidden="1">
      <c r="A36" s="5" t="b">
        <v>1</v>
      </c>
      <c r="B36" s="6" t="s">
        <v>21</v>
      </c>
      <c r="C36" s="6"/>
      <c r="D36" s="6" t="b">
        <v>0</v>
      </c>
      <c r="E36" s="6" t="b">
        <v>1</v>
      </c>
      <c r="F36" s="1" t="s">
        <v>22</v>
      </c>
      <c r="G36" s="17" t="s">
        <v>60</v>
      </c>
      <c r="H36" s="23"/>
      <c r="I36" s="1"/>
      <c r="J36" s="41" t="s">
        <v>127</v>
      </c>
      <c r="K36" s="144"/>
    </row>
    <row r="37" spans="1:11" hidden="1">
      <c r="A37" s="5" t="b">
        <v>0</v>
      </c>
      <c r="B37" s="6" t="s">
        <v>24</v>
      </c>
      <c r="C37" s="6"/>
      <c r="D37" s="6" t="b">
        <v>0</v>
      </c>
      <c r="E37" s="6" t="b">
        <v>1</v>
      </c>
      <c r="F37" s="1" t="s">
        <v>25</v>
      </c>
      <c r="G37" s="17">
        <v>2</v>
      </c>
      <c r="H37" s="23"/>
      <c r="I37" s="1"/>
      <c r="J37" s="41" t="s">
        <v>127</v>
      </c>
      <c r="K37" s="144"/>
    </row>
    <row r="38" spans="1:11" hidden="1">
      <c r="A38" s="5" t="b">
        <v>0</v>
      </c>
      <c r="B38" s="6" t="s">
        <v>26</v>
      </c>
      <c r="C38" s="6"/>
      <c r="D38" s="6" t="b">
        <v>0</v>
      </c>
      <c r="E38" s="6" t="b">
        <v>1</v>
      </c>
      <c r="F38" s="1" t="s">
        <v>27</v>
      </c>
      <c r="G38" s="17"/>
      <c r="H38" s="23"/>
      <c r="I38" s="1"/>
      <c r="J38" s="41" t="s">
        <v>127</v>
      </c>
      <c r="K38" s="144"/>
    </row>
    <row r="39" spans="1:11" hidden="1">
      <c r="A39" s="5" t="b">
        <v>1</v>
      </c>
      <c r="B39" s="6" t="s">
        <v>28</v>
      </c>
      <c r="C39" s="6"/>
      <c r="D39" s="6" t="b">
        <v>0</v>
      </c>
      <c r="E39" s="6" t="b">
        <v>1</v>
      </c>
      <c r="F39" s="1" t="s">
        <v>29</v>
      </c>
      <c r="G39" s="17" t="s">
        <v>30</v>
      </c>
      <c r="H39" s="23"/>
      <c r="I39" s="1"/>
      <c r="J39" s="41" t="s">
        <v>127</v>
      </c>
      <c r="K39" s="144"/>
    </row>
    <row r="40" spans="1:11" hidden="1">
      <c r="A40" s="3"/>
      <c r="B40" s="4" t="s">
        <v>31</v>
      </c>
      <c r="C40" s="4"/>
      <c r="D40" s="4" t="b">
        <v>0</v>
      </c>
      <c r="E40" s="4" t="b">
        <v>1</v>
      </c>
      <c r="F40" s="7" t="s">
        <v>32</v>
      </c>
      <c r="G40" s="244"/>
      <c r="H40" s="7"/>
      <c r="I40" s="7"/>
      <c r="J40" s="41" t="s">
        <v>127</v>
      </c>
      <c r="K40" s="144"/>
    </row>
    <row r="41" spans="1:11" ht="28.5">
      <c r="A41" s="5" t="b">
        <v>0</v>
      </c>
      <c r="B41" s="6" t="s">
        <v>35</v>
      </c>
      <c r="C41" s="6"/>
      <c r="D41" s="6" t="b">
        <v>0</v>
      </c>
      <c r="E41" s="6" t="b">
        <v>1</v>
      </c>
      <c r="F41" s="25" t="s">
        <v>1194</v>
      </c>
      <c r="G41" s="243" t="s">
        <v>1264</v>
      </c>
      <c r="H41" s="137" t="s">
        <v>1196</v>
      </c>
      <c r="I41" s="1" t="s">
        <v>1129</v>
      </c>
      <c r="J41" s="41" t="s">
        <v>127</v>
      </c>
      <c r="K41" s="145" t="s">
        <v>1197</v>
      </c>
    </row>
    <row r="42" spans="1:11" ht="42.5">
      <c r="A42" s="5" t="b">
        <v>0</v>
      </c>
      <c r="B42" s="6" t="s">
        <v>35</v>
      </c>
      <c r="C42" s="6"/>
      <c r="D42" s="6" t="b">
        <v>0</v>
      </c>
      <c r="E42" s="6" t="b">
        <v>1</v>
      </c>
      <c r="F42" s="1" t="s">
        <v>1198</v>
      </c>
      <c r="G42" s="243" t="s">
        <v>1265</v>
      </c>
      <c r="H42" s="138" t="s">
        <v>1200</v>
      </c>
      <c r="I42" s="1" t="s">
        <v>1129</v>
      </c>
      <c r="J42" s="41" t="s">
        <v>127</v>
      </c>
      <c r="K42" s="146" t="s">
        <v>1201</v>
      </c>
    </row>
    <row r="43" spans="1:11">
      <c r="A43" s="5" t="b">
        <v>0</v>
      </c>
      <c r="B43" s="6" t="s">
        <v>35</v>
      </c>
      <c r="C43" s="6"/>
      <c r="D43" s="6" t="b">
        <v>0</v>
      </c>
      <c r="E43" s="6" t="b">
        <v>1</v>
      </c>
      <c r="F43" s="1" t="s">
        <v>1202</v>
      </c>
      <c r="G43" s="243" t="s">
        <v>1266</v>
      </c>
      <c r="H43" s="138" t="s">
        <v>1204</v>
      </c>
      <c r="I43" s="1" t="s">
        <v>1129</v>
      </c>
      <c r="J43" s="41" t="s">
        <v>127</v>
      </c>
      <c r="K43" s="146" t="s">
        <v>1205</v>
      </c>
    </row>
    <row r="44" spans="1:11">
      <c r="A44" s="5" t="b">
        <v>0</v>
      </c>
      <c r="B44" s="6" t="s">
        <v>35</v>
      </c>
      <c r="C44" s="6"/>
      <c r="D44" s="6" t="b">
        <v>0</v>
      </c>
      <c r="E44" s="6" t="b">
        <v>1</v>
      </c>
      <c r="F44" s="1" t="s">
        <v>1206</v>
      </c>
      <c r="G44" s="243">
        <v>16</v>
      </c>
      <c r="H44" s="138" t="s">
        <v>1207</v>
      </c>
      <c r="I44" s="1" t="s">
        <v>1129</v>
      </c>
      <c r="J44" s="41" t="s">
        <v>127</v>
      </c>
      <c r="K44" s="146" t="s">
        <v>1208</v>
      </c>
    </row>
    <row r="45" spans="1:11" ht="70.5">
      <c r="A45" s="5" t="b">
        <v>0</v>
      </c>
      <c r="B45" s="6" t="s">
        <v>35</v>
      </c>
      <c r="C45" s="6"/>
      <c r="D45" s="6" t="b">
        <v>0</v>
      </c>
      <c r="E45" s="6" t="b">
        <v>1</v>
      </c>
      <c r="F45" s="1" t="s">
        <v>1209</v>
      </c>
      <c r="G45" s="243" t="s">
        <v>1267</v>
      </c>
      <c r="H45" s="138" t="s">
        <v>1211</v>
      </c>
      <c r="I45" s="1" t="s">
        <v>1129</v>
      </c>
      <c r="J45" s="41" t="s">
        <v>127</v>
      </c>
      <c r="K45" s="146" t="s">
        <v>1212</v>
      </c>
    </row>
    <row r="46" spans="1:11" ht="28.5">
      <c r="A46" s="5" t="b">
        <v>0</v>
      </c>
      <c r="B46" s="6" t="s">
        <v>35</v>
      </c>
      <c r="C46" s="6"/>
      <c r="D46" s="6" t="b">
        <v>0</v>
      </c>
      <c r="E46" s="6" t="b">
        <v>1</v>
      </c>
      <c r="F46" s="1" t="s">
        <v>1213</v>
      </c>
      <c r="G46" s="243" t="s">
        <v>1268</v>
      </c>
      <c r="H46" s="138" t="s">
        <v>1215</v>
      </c>
      <c r="I46" s="1" t="s">
        <v>1129</v>
      </c>
      <c r="J46" s="41" t="s">
        <v>127</v>
      </c>
      <c r="K46" s="146" t="s">
        <v>1216</v>
      </c>
    </row>
    <row r="47" spans="1:11">
      <c r="A47" s="5" t="b">
        <v>0</v>
      </c>
      <c r="B47" s="6" t="s">
        <v>35</v>
      </c>
      <c r="C47" s="6"/>
      <c r="D47" s="6" t="b">
        <v>0</v>
      </c>
      <c r="E47" s="6" t="b">
        <v>1</v>
      </c>
      <c r="F47" s="1" t="s">
        <v>1217</v>
      </c>
      <c r="G47" s="243" t="s">
        <v>1269</v>
      </c>
      <c r="H47" s="138" t="s">
        <v>1219</v>
      </c>
      <c r="I47" s="1" t="s">
        <v>1129</v>
      </c>
      <c r="J47" s="41" t="s">
        <v>127</v>
      </c>
      <c r="K47" s="146" t="s">
        <v>1219</v>
      </c>
    </row>
    <row r="48" spans="1:11">
      <c r="A48" s="5"/>
      <c r="B48" s="6"/>
      <c r="C48" s="6"/>
      <c r="D48" s="6" t="b">
        <v>0</v>
      </c>
      <c r="E48" s="6" t="b">
        <v>1</v>
      </c>
      <c r="F48" s="89" t="s">
        <v>1220</v>
      </c>
      <c r="G48" s="243" t="s">
        <v>1221</v>
      </c>
      <c r="H48" s="138" t="s">
        <v>1222</v>
      </c>
      <c r="I48" s="1" t="s">
        <v>1129</v>
      </c>
      <c r="J48" s="41" t="s">
        <v>127</v>
      </c>
      <c r="K48" s="146" t="s">
        <v>1223</v>
      </c>
    </row>
    <row r="49" spans="1:11">
      <c r="A49" s="5" t="b">
        <v>0</v>
      </c>
      <c r="B49" s="6" t="s">
        <v>35</v>
      </c>
      <c r="C49" s="6"/>
      <c r="D49" s="6" t="b">
        <v>0</v>
      </c>
      <c r="E49" s="6" t="b">
        <v>1</v>
      </c>
      <c r="F49" s="1" t="s">
        <v>1224</v>
      </c>
      <c r="G49" s="243" t="s">
        <v>1270</v>
      </c>
      <c r="H49" s="138" t="s">
        <v>1226</v>
      </c>
      <c r="I49" s="1" t="s">
        <v>1129</v>
      </c>
      <c r="J49" s="41" t="s">
        <v>127</v>
      </c>
      <c r="K49" s="146" t="s">
        <v>1227</v>
      </c>
    </row>
    <row r="50" spans="1:11">
      <c r="A50" s="5" t="b">
        <v>0</v>
      </c>
      <c r="B50" s="6" t="s">
        <v>35</v>
      </c>
      <c r="C50" s="6"/>
      <c r="D50" s="6" t="b">
        <v>0</v>
      </c>
      <c r="E50" s="6" t="b">
        <v>1</v>
      </c>
      <c r="F50" s="1" t="s">
        <v>1228</v>
      </c>
      <c r="G50" s="243" t="s">
        <v>1271</v>
      </c>
      <c r="H50" s="138" t="s">
        <v>1230</v>
      </c>
      <c r="I50" s="1" t="s">
        <v>1129</v>
      </c>
      <c r="J50" s="41" t="s">
        <v>127</v>
      </c>
      <c r="K50" s="146" t="s">
        <v>1231</v>
      </c>
    </row>
    <row r="51" spans="1:11">
      <c r="A51" s="5" t="b">
        <v>0</v>
      </c>
      <c r="B51" s="6" t="s">
        <v>35</v>
      </c>
      <c r="C51" s="6"/>
      <c r="D51" s="6" t="b">
        <v>0</v>
      </c>
      <c r="E51" s="6" t="b">
        <v>1</v>
      </c>
      <c r="F51" s="1" t="s">
        <v>1232</v>
      </c>
      <c r="G51" s="243" t="s">
        <v>1272</v>
      </c>
      <c r="H51" s="138" t="s">
        <v>1234</v>
      </c>
      <c r="I51" s="1" t="s">
        <v>1129</v>
      </c>
      <c r="J51" s="41" t="s">
        <v>127</v>
      </c>
      <c r="K51" s="146" t="s">
        <v>1235</v>
      </c>
    </row>
    <row r="52" spans="1:11" ht="56.5">
      <c r="A52" s="5" t="b">
        <v>0</v>
      </c>
      <c r="B52" s="6" t="s">
        <v>35</v>
      </c>
      <c r="C52" s="6"/>
      <c r="D52" s="6" t="b">
        <v>0</v>
      </c>
      <c r="E52" s="6" t="b">
        <v>1</v>
      </c>
      <c r="F52" s="1" t="s">
        <v>1236</v>
      </c>
      <c r="G52" s="243" t="s">
        <v>1273</v>
      </c>
      <c r="H52" s="138" t="s">
        <v>1238</v>
      </c>
      <c r="I52" s="1" t="s">
        <v>1129</v>
      </c>
      <c r="J52" s="41" t="s">
        <v>127</v>
      </c>
      <c r="K52" s="146" t="s">
        <v>1239</v>
      </c>
    </row>
    <row r="53" spans="1:11" ht="42.5">
      <c r="A53" s="5" t="b">
        <v>0</v>
      </c>
      <c r="B53" s="6" t="s">
        <v>35</v>
      </c>
      <c r="C53" s="6"/>
      <c r="D53" s="6" t="b">
        <v>0</v>
      </c>
      <c r="E53" s="6" t="b">
        <v>1</v>
      </c>
      <c r="F53" s="1" t="s">
        <v>1240</v>
      </c>
      <c r="G53" s="243" t="s">
        <v>1241</v>
      </c>
      <c r="H53" s="139" t="s">
        <v>1242</v>
      </c>
      <c r="I53" s="1" t="s">
        <v>1129</v>
      </c>
      <c r="J53" s="41" t="s">
        <v>127</v>
      </c>
      <c r="K53" s="147" t="s">
        <v>1242</v>
      </c>
    </row>
    <row r="54" spans="1:11">
      <c r="A54" s="5" t="b">
        <v>0</v>
      </c>
      <c r="B54" s="6" t="s">
        <v>35</v>
      </c>
      <c r="C54" s="6"/>
      <c r="D54" s="6" t="b">
        <v>0</v>
      </c>
      <c r="E54" s="6" t="b">
        <v>1</v>
      </c>
      <c r="F54" s="1" t="s">
        <v>1243</v>
      </c>
      <c r="G54" s="45" t="s">
        <v>1274</v>
      </c>
      <c r="H54" s="137" t="s">
        <v>1245</v>
      </c>
      <c r="I54" s="1" t="s">
        <v>1129</v>
      </c>
      <c r="J54" s="41" t="s">
        <v>127</v>
      </c>
      <c r="K54" s="146" t="s">
        <v>1246</v>
      </c>
    </row>
    <row r="55" spans="1:11" ht="112.5">
      <c r="A55" s="5" t="b">
        <v>0</v>
      </c>
      <c r="B55" s="6" t="s">
        <v>35</v>
      </c>
      <c r="C55" s="6"/>
      <c r="D55" s="6" t="b">
        <v>0</v>
      </c>
      <c r="E55" s="6" t="b">
        <v>1</v>
      </c>
      <c r="F55" s="1" t="s">
        <v>1247</v>
      </c>
      <c r="G55" s="243" t="s">
        <v>1275</v>
      </c>
      <c r="H55" s="138" t="s">
        <v>1249</v>
      </c>
      <c r="I55" s="1" t="s">
        <v>1129</v>
      </c>
      <c r="J55" s="41" t="s">
        <v>127</v>
      </c>
      <c r="K55" s="146" t="s">
        <v>1250</v>
      </c>
    </row>
    <row r="56" spans="1:11" ht="140.5">
      <c r="A56" s="5" t="b">
        <v>0</v>
      </c>
      <c r="B56" s="6" t="s">
        <v>35</v>
      </c>
      <c r="C56" s="6"/>
      <c r="D56" s="6" t="b">
        <v>0</v>
      </c>
      <c r="E56" s="6" t="b">
        <v>1</v>
      </c>
      <c r="F56" s="1" t="s">
        <v>1251</v>
      </c>
      <c r="G56" s="243">
        <v>8</v>
      </c>
      <c r="H56" s="158" t="s">
        <v>1253</v>
      </c>
      <c r="I56" s="1" t="s">
        <v>1129</v>
      </c>
      <c r="J56" s="41" t="s">
        <v>127</v>
      </c>
      <c r="K56" s="146" t="s">
        <v>1253</v>
      </c>
    </row>
    <row r="57" spans="1:11" ht="42.5">
      <c r="A57" s="5" t="b">
        <v>0</v>
      </c>
      <c r="B57" s="6" t="s">
        <v>35</v>
      </c>
      <c r="C57" s="6"/>
      <c r="D57" s="6" t="b">
        <v>0</v>
      </c>
      <c r="E57" s="6" t="b">
        <v>1</v>
      </c>
      <c r="F57" s="1" t="s">
        <v>1254</v>
      </c>
      <c r="G57" s="243" t="s">
        <v>1256</v>
      </c>
      <c r="H57" s="138" t="s">
        <v>1256</v>
      </c>
      <c r="I57" s="1" t="s">
        <v>1129</v>
      </c>
      <c r="J57" s="41" t="s">
        <v>127</v>
      </c>
      <c r="K57" s="146" t="s">
        <v>1257</v>
      </c>
    </row>
    <row r="58" spans="1:11">
      <c r="A58" s="5"/>
      <c r="B58" s="6"/>
      <c r="C58" s="6"/>
      <c r="D58" s="6"/>
      <c r="E58" s="6"/>
      <c r="F58" s="140" t="s">
        <v>1258</v>
      </c>
      <c r="G58" s="243" t="s">
        <v>1276</v>
      </c>
      <c r="H58" s="142" t="s">
        <v>1222</v>
      </c>
      <c r="I58" s="1" t="s">
        <v>1129</v>
      </c>
      <c r="J58" s="41" t="s">
        <v>127</v>
      </c>
      <c r="K58" s="146" t="s">
        <v>1222</v>
      </c>
    </row>
    <row r="59" spans="1:11" ht="42.5">
      <c r="A59" s="5"/>
      <c r="B59" s="6"/>
      <c r="C59" s="6"/>
      <c r="D59" s="6"/>
      <c r="E59" s="6"/>
      <c r="F59" s="141" t="s">
        <v>1259</v>
      </c>
      <c r="G59" s="243" t="s">
        <v>1137</v>
      </c>
      <c r="H59" s="143" t="s">
        <v>1261</v>
      </c>
      <c r="I59" s="1" t="s">
        <v>1129</v>
      </c>
      <c r="J59" s="41" t="s">
        <v>127</v>
      </c>
      <c r="K59" s="146" t="s">
        <v>1262</v>
      </c>
    </row>
    <row r="60" spans="1:11">
      <c r="A60" s="7"/>
      <c r="B60" s="7" t="s">
        <v>35</v>
      </c>
      <c r="C60" s="7"/>
      <c r="D60" s="7" t="b">
        <v>0</v>
      </c>
      <c r="E60" s="7" t="b">
        <v>1</v>
      </c>
      <c r="F60" s="7" t="s">
        <v>37</v>
      </c>
      <c r="G60" s="244"/>
      <c r="H60" s="4"/>
      <c r="I60" s="4"/>
      <c r="J60" s="4"/>
      <c r="K60" s="4"/>
    </row>
    <row r="61" spans="1:11" ht="29">
      <c r="A61" s="5" t="b">
        <v>0</v>
      </c>
      <c r="B61" s="6" t="s">
        <v>35</v>
      </c>
      <c r="C61" s="6"/>
      <c r="D61" s="6" t="b">
        <v>0</v>
      </c>
      <c r="E61" s="6" t="b">
        <v>1</v>
      </c>
      <c r="F61" s="1"/>
      <c r="G61" s="246"/>
      <c r="H61" s="35"/>
      <c r="I61" s="1" t="s">
        <v>1129</v>
      </c>
      <c r="J61" s="41" t="s">
        <v>20</v>
      </c>
      <c r="K61" s="82" t="s">
        <v>161</v>
      </c>
    </row>
    <row r="62" spans="1:11" ht="29">
      <c r="A62" s="8" t="s">
        <v>4</v>
      </c>
      <c r="B62" s="8" t="s">
        <v>5</v>
      </c>
      <c r="C62" s="8" t="s">
        <v>6</v>
      </c>
      <c r="D62" s="8" t="s">
        <v>113</v>
      </c>
      <c r="E62" s="8" t="s">
        <v>114</v>
      </c>
      <c r="F62" s="8" t="s">
        <v>9</v>
      </c>
      <c r="G62" s="151" t="s">
        <v>10</v>
      </c>
      <c r="H62" s="8" t="s">
        <v>11</v>
      </c>
      <c r="I62" s="8" t="s">
        <v>12</v>
      </c>
      <c r="J62" s="29" t="s">
        <v>13</v>
      </c>
      <c r="K62" s="29" t="s">
        <v>14</v>
      </c>
    </row>
    <row r="63" spans="1:11">
      <c r="A63" s="9"/>
      <c r="B63" s="10" t="s">
        <v>15</v>
      </c>
      <c r="C63" s="10"/>
      <c r="D63" s="10" t="b">
        <v>0</v>
      </c>
      <c r="E63" s="10" t="b">
        <v>1</v>
      </c>
      <c r="F63" s="11" t="s">
        <v>1191</v>
      </c>
      <c r="G63" s="247"/>
      <c r="H63" s="11"/>
      <c r="I63" s="11"/>
      <c r="J63" s="11"/>
      <c r="K63" s="11"/>
    </row>
    <row r="64" spans="1:11" ht="36" customHeight="1">
      <c r="A64" s="20"/>
      <c r="B64" s="14" t="s">
        <v>17</v>
      </c>
      <c r="C64" s="14"/>
      <c r="D64" s="14" t="b">
        <v>0</v>
      </c>
      <c r="E64" s="14" t="b">
        <v>1</v>
      </c>
      <c r="F64" s="14" t="s">
        <v>18</v>
      </c>
      <c r="G64" s="73" t="s">
        <v>1277</v>
      </c>
      <c r="H64" s="14" t="s">
        <v>1193</v>
      </c>
      <c r="I64" s="1" t="s">
        <v>1129</v>
      </c>
      <c r="J64" s="41" t="s">
        <v>127</v>
      </c>
      <c r="K64" s="144"/>
    </row>
    <row r="65" spans="1:11" hidden="1">
      <c r="A65" s="5" t="b">
        <v>1</v>
      </c>
      <c r="B65" s="6" t="s">
        <v>21</v>
      </c>
      <c r="C65" s="6"/>
      <c r="D65" s="6" t="b">
        <v>0</v>
      </c>
      <c r="E65" s="6" t="b">
        <v>1</v>
      </c>
      <c r="F65" s="1" t="s">
        <v>22</v>
      </c>
      <c r="G65" s="17" t="s">
        <v>60</v>
      </c>
      <c r="H65" s="23"/>
      <c r="I65" s="1"/>
      <c r="J65" s="41" t="s">
        <v>127</v>
      </c>
      <c r="K65" s="144"/>
    </row>
    <row r="66" spans="1:11" hidden="1">
      <c r="A66" s="5" t="b">
        <v>0</v>
      </c>
      <c r="B66" s="6" t="s">
        <v>24</v>
      </c>
      <c r="C66" s="6"/>
      <c r="D66" s="6" t="b">
        <v>0</v>
      </c>
      <c r="E66" s="6" t="b">
        <v>1</v>
      </c>
      <c r="F66" s="1" t="s">
        <v>25</v>
      </c>
      <c r="G66" s="17">
        <v>2</v>
      </c>
      <c r="H66" s="23"/>
      <c r="I66" s="1"/>
      <c r="J66" s="41" t="s">
        <v>127</v>
      </c>
      <c r="K66" s="144"/>
    </row>
    <row r="67" spans="1:11" hidden="1">
      <c r="A67" s="5" t="b">
        <v>0</v>
      </c>
      <c r="B67" s="6" t="s">
        <v>26</v>
      </c>
      <c r="C67" s="6"/>
      <c r="D67" s="6" t="b">
        <v>0</v>
      </c>
      <c r="E67" s="6" t="b">
        <v>1</v>
      </c>
      <c r="F67" s="1" t="s">
        <v>27</v>
      </c>
      <c r="G67" s="17"/>
      <c r="H67" s="23"/>
      <c r="I67" s="1"/>
      <c r="J67" s="41" t="s">
        <v>127</v>
      </c>
      <c r="K67" s="144"/>
    </row>
    <row r="68" spans="1:11" hidden="1">
      <c r="A68" s="5" t="b">
        <v>1</v>
      </c>
      <c r="B68" s="6" t="s">
        <v>28</v>
      </c>
      <c r="C68" s="6"/>
      <c r="D68" s="6" t="b">
        <v>0</v>
      </c>
      <c r="E68" s="6" t="b">
        <v>1</v>
      </c>
      <c r="F68" s="1" t="s">
        <v>29</v>
      </c>
      <c r="G68" s="17" t="s">
        <v>30</v>
      </c>
      <c r="H68" s="23"/>
      <c r="I68" s="1"/>
      <c r="J68" s="41" t="s">
        <v>127</v>
      </c>
      <c r="K68" s="144"/>
    </row>
    <row r="69" spans="1:11" hidden="1">
      <c r="A69" s="3"/>
      <c r="B69" s="4" t="s">
        <v>31</v>
      </c>
      <c r="C69" s="4"/>
      <c r="D69" s="4" t="b">
        <v>0</v>
      </c>
      <c r="E69" s="4" t="b">
        <v>1</v>
      </c>
      <c r="F69" s="7" t="s">
        <v>32</v>
      </c>
      <c r="G69" s="244"/>
      <c r="H69" s="7"/>
      <c r="I69" s="7"/>
      <c r="J69" s="41" t="s">
        <v>127</v>
      </c>
      <c r="K69" s="144"/>
    </row>
    <row r="70" spans="1:11" ht="28.5">
      <c r="A70" s="5" t="b">
        <v>0</v>
      </c>
      <c r="B70" s="6" t="s">
        <v>35</v>
      </c>
      <c r="C70" s="6"/>
      <c r="D70" s="6" t="b">
        <v>0</v>
      </c>
      <c r="E70" s="6" t="b">
        <v>1</v>
      </c>
      <c r="F70" s="25" t="s">
        <v>1194</v>
      </c>
      <c r="G70" s="243" t="s">
        <v>1278</v>
      </c>
      <c r="H70" s="137" t="s">
        <v>1196</v>
      </c>
      <c r="I70" s="1" t="s">
        <v>1129</v>
      </c>
      <c r="J70" s="41" t="s">
        <v>127</v>
      </c>
      <c r="K70" s="145" t="s">
        <v>1197</v>
      </c>
    </row>
    <row r="71" spans="1:11" ht="42.5">
      <c r="A71" s="5" t="b">
        <v>0</v>
      </c>
      <c r="B71" s="6" t="s">
        <v>35</v>
      </c>
      <c r="C71" s="6"/>
      <c r="D71" s="6" t="b">
        <v>0</v>
      </c>
      <c r="E71" s="6" t="b">
        <v>1</v>
      </c>
      <c r="F71" s="1" t="s">
        <v>1198</v>
      </c>
      <c r="G71" s="243" t="s">
        <v>1279</v>
      </c>
      <c r="H71" s="138" t="s">
        <v>1200</v>
      </c>
      <c r="I71" s="1" t="s">
        <v>1129</v>
      </c>
      <c r="J71" s="41" t="s">
        <v>127</v>
      </c>
      <c r="K71" s="146" t="s">
        <v>1201</v>
      </c>
    </row>
    <row r="72" spans="1:11">
      <c r="A72" s="5" t="b">
        <v>0</v>
      </c>
      <c r="B72" s="6" t="s">
        <v>35</v>
      </c>
      <c r="C72" s="6"/>
      <c r="D72" s="6" t="b">
        <v>0</v>
      </c>
      <c r="E72" s="6" t="b">
        <v>1</v>
      </c>
      <c r="F72" s="1" t="s">
        <v>1202</v>
      </c>
      <c r="G72" s="243" t="s">
        <v>1280</v>
      </c>
      <c r="H72" s="138" t="s">
        <v>1204</v>
      </c>
      <c r="I72" s="1" t="s">
        <v>1129</v>
      </c>
      <c r="J72" s="41" t="s">
        <v>127</v>
      </c>
      <c r="K72" s="146" t="s">
        <v>1205</v>
      </c>
    </row>
    <row r="73" spans="1:11">
      <c r="A73" s="5" t="b">
        <v>0</v>
      </c>
      <c r="B73" s="6" t="s">
        <v>35</v>
      </c>
      <c r="C73" s="6"/>
      <c r="D73" s="6" t="b">
        <v>0</v>
      </c>
      <c r="E73" s="6" t="b">
        <v>1</v>
      </c>
      <c r="F73" s="1" t="s">
        <v>1206</v>
      </c>
      <c r="G73" s="243">
        <v>16</v>
      </c>
      <c r="H73" s="138" t="s">
        <v>1207</v>
      </c>
      <c r="I73" s="1" t="s">
        <v>1129</v>
      </c>
      <c r="J73" s="41" t="s">
        <v>127</v>
      </c>
      <c r="K73" s="146" t="s">
        <v>1208</v>
      </c>
    </row>
    <row r="74" spans="1:11" ht="70.5">
      <c r="A74" s="5" t="b">
        <v>0</v>
      </c>
      <c r="B74" s="6" t="s">
        <v>35</v>
      </c>
      <c r="C74" s="6"/>
      <c r="D74" s="6" t="b">
        <v>0</v>
      </c>
      <c r="E74" s="6" t="b">
        <v>1</v>
      </c>
      <c r="F74" s="1" t="s">
        <v>1209</v>
      </c>
      <c r="G74" s="243" t="s">
        <v>1281</v>
      </c>
      <c r="H74" s="138" t="s">
        <v>1211</v>
      </c>
      <c r="I74" s="1" t="s">
        <v>1129</v>
      </c>
      <c r="J74" s="41" t="s">
        <v>127</v>
      </c>
      <c r="K74" s="146" t="s">
        <v>1212</v>
      </c>
    </row>
    <row r="75" spans="1:11" ht="28.5">
      <c r="A75" s="5" t="b">
        <v>0</v>
      </c>
      <c r="B75" s="6" t="s">
        <v>35</v>
      </c>
      <c r="C75" s="6"/>
      <c r="D75" s="6" t="b">
        <v>0</v>
      </c>
      <c r="E75" s="6" t="b">
        <v>1</v>
      </c>
      <c r="F75" s="1" t="s">
        <v>1213</v>
      </c>
      <c r="G75" s="243" t="s">
        <v>1214</v>
      </c>
      <c r="H75" s="138" t="s">
        <v>1215</v>
      </c>
      <c r="I75" s="1" t="s">
        <v>1129</v>
      </c>
      <c r="J75" s="41" t="s">
        <v>127</v>
      </c>
      <c r="K75" s="146" t="s">
        <v>1216</v>
      </c>
    </row>
    <row r="76" spans="1:11">
      <c r="A76" s="5" t="b">
        <v>0</v>
      </c>
      <c r="B76" s="6" t="s">
        <v>35</v>
      </c>
      <c r="C76" s="6"/>
      <c r="D76" s="6" t="b">
        <v>0</v>
      </c>
      <c r="E76" s="6" t="b">
        <v>1</v>
      </c>
      <c r="F76" s="1" t="s">
        <v>1217</v>
      </c>
      <c r="G76" s="243" t="s">
        <v>1269</v>
      </c>
      <c r="H76" s="138" t="s">
        <v>1219</v>
      </c>
      <c r="I76" s="1" t="s">
        <v>1129</v>
      </c>
      <c r="J76" s="41" t="s">
        <v>127</v>
      </c>
      <c r="K76" s="146" t="s">
        <v>1219</v>
      </c>
    </row>
    <row r="77" spans="1:11">
      <c r="A77" s="5"/>
      <c r="B77" s="6"/>
      <c r="C77" s="6"/>
      <c r="D77" s="6" t="b">
        <v>0</v>
      </c>
      <c r="E77" s="6" t="b">
        <v>1</v>
      </c>
      <c r="F77" s="89" t="s">
        <v>1220</v>
      </c>
      <c r="G77" s="243" t="s">
        <v>1221</v>
      </c>
      <c r="H77" s="138" t="s">
        <v>1222</v>
      </c>
      <c r="I77" s="1" t="s">
        <v>1129</v>
      </c>
      <c r="J77" s="41" t="s">
        <v>127</v>
      </c>
      <c r="K77" s="146" t="s">
        <v>1223</v>
      </c>
    </row>
    <row r="78" spans="1:11">
      <c r="A78" s="5" t="b">
        <v>0</v>
      </c>
      <c r="B78" s="6" t="s">
        <v>35</v>
      </c>
      <c r="C78" s="6"/>
      <c r="D78" s="6" t="b">
        <v>0</v>
      </c>
      <c r="E78" s="6" t="b">
        <v>1</v>
      </c>
      <c r="F78" s="1" t="s">
        <v>1224</v>
      </c>
      <c r="G78" s="243" t="s">
        <v>1282</v>
      </c>
      <c r="H78" s="138" t="s">
        <v>1226</v>
      </c>
      <c r="I78" s="1" t="s">
        <v>1129</v>
      </c>
      <c r="J78" s="41" t="s">
        <v>127</v>
      </c>
      <c r="K78" s="146" t="s">
        <v>1227</v>
      </c>
    </row>
    <row r="79" spans="1:11">
      <c r="A79" s="5" t="b">
        <v>0</v>
      </c>
      <c r="B79" s="6" t="s">
        <v>35</v>
      </c>
      <c r="C79" s="6"/>
      <c r="D79" s="6" t="b">
        <v>0</v>
      </c>
      <c r="E79" s="6" t="b">
        <v>1</v>
      </c>
      <c r="F79" s="1" t="s">
        <v>1228</v>
      </c>
      <c r="G79" s="243" t="s">
        <v>1271</v>
      </c>
      <c r="H79" s="138" t="s">
        <v>1230</v>
      </c>
      <c r="I79" s="1" t="s">
        <v>1129</v>
      </c>
      <c r="J79" s="41" t="s">
        <v>127</v>
      </c>
      <c r="K79" s="146" t="s">
        <v>1231</v>
      </c>
    </row>
    <row r="80" spans="1:11">
      <c r="A80" s="5" t="b">
        <v>0</v>
      </c>
      <c r="B80" s="6" t="s">
        <v>35</v>
      </c>
      <c r="C80" s="6"/>
      <c r="D80" s="6" t="b">
        <v>0</v>
      </c>
      <c r="E80" s="6" t="b">
        <v>1</v>
      </c>
      <c r="F80" s="1" t="s">
        <v>1232</v>
      </c>
      <c r="G80" s="243" t="s">
        <v>1233</v>
      </c>
      <c r="H80" s="138" t="s">
        <v>1234</v>
      </c>
      <c r="I80" s="1" t="s">
        <v>1129</v>
      </c>
      <c r="J80" s="41" t="s">
        <v>127</v>
      </c>
      <c r="K80" s="146" t="s">
        <v>1235</v>
      </c>
    </row>
    <row r="81" spans="1:11" ht="56.5">
      <c r="A81" s="5" t="b">
        <v>0</v>
      </c>
      <c r="B81" s="6" t="s">
        <v>35</v>
      </c>
      <c r="C81" s="6"/>
      <c r="D81" s="6" t="b">
        <v>0</v>
      </c>
      <c r="E81" s="6" t="b">
        <v>1</v>
      </c>
      <c r="F81" s="1" t="s">
        <v>1236</v>
      </c>
      <c r="G81" s="243" t="s">
        <v>1283</v>
      </c>
      <c r="H81" s="138" t="s">
        <v>1238</v>
      </c>
      <c r="I81" s="1" t="s">
        <v>1129</v>
      </c>
      <c r="J81" s="41" t="s">
        <v>127</v>
      </c>
      <c r="K81" s="146" t="s">
        <v>1239</v>
      </c>
    </row>
    <row r="82" spans="1:11" ht="42.5">
      <c r="A82" s="5" t="b">
        <v>0</v>
      </c>
      <c r="B82" s="6" t="s">
        <v>35</v>
      </c>
      <c r="C82" s="6"/>
      <c r="D82" s="6" t="b">
        <v>0</v>
      </c>
      <c r="E82" s="6" t="b">
        <v>1</v>
      </c>
      <c r="F82" s="1" t="s">
        <v>1240</v>
      </c>
      <c r="G82" s="243" t="s">
        <v>1241</v>
      </c>
      <c r="H82" s="139" t="s">
        <v>1242</v>
      </c>
      <c r="I82" s="1" t="s">
        <v>1129</v>
      </c>
      <c r="J82" s="41" t="s">
        <v>127</v>
      </c>
      <c r="K82" s="147" t="s">
        <v>1242</v>
      </c>
    </row>
    <row r="83" spans="1:11">
      <c r="A83" s="5" t="b">
        <v>0</v>
      </c>
      <c r="B83" s="6" t="s">
        <v>35</v>
      </c>
      <c r="C83" s="6"/>
      <c r="D83" s="6" t="b">
        <v>0</v>
      </c>
      <c r="E83" s="6" t="b">
        <v>1</v>
      </c>
      <c r="F83" s="1" t="s">
        <v>1243</v>
      </c>
      <c r="G83" s="45" t="s">
        <v>1274</v>
      </c>
      <c r="H83" s="137" t="s">
        <v>1245</v>
      </c>
      <c r="I83" s="1" t="s">
        <v>1129</v>
      </c>
      <c r="J83" s="41" t="s">
        <v>127</v>
      </c>
      <c r="K83" s="146" t="s">
        <v>1246</v>
      </c>
    </row>
    <row r="84" spans="1:11" ht="112.5">
      <c r="A84" s="5" t="b">
        <v>0</v>
      </c>
      <c r="B84" s="6" t="s">
        <v>35</v>
      </c>
      <c r="C84" s="6"/>
      <c r="D84" s="6" t="b">
        <v>0</v>
      </c>
      <c r="E84" s="6" t="b">
        <v>1</v>
      </c>
      <c r="F84" s="1" t="s">
        <v>1247</v>
      </c>
      <c r="G84" s="243" t="s">
        <v>1284</v>
      </c>
      <c r="H84" s="138" t="s">
        <v>1249</v>
      </c>
      <c r="I84" s="1" t="s">
        <v>1129</v>
      </c>
      <c r="J84" s="41" t="s">
        <v>127</v>
      </c>
      <c r="K84" s="146" t="s">
        <v>1250</v>
      </c>
    </row>
    <row r="85" spans="1:11" ht="140.5">
      <c r="A85" s="5" t="b">
        <v>0</v>
      </c>
      <c r="B85" s="6" t="s">
        <v>35</v>
      </c>
      <c r="C85" s="6"/>
      <c r="D85" s="6" t="b">
        <v>0</v>
      </c>
      <c r="E85" s="6" t="b">
        <v>1</v>
      </c>
      <c r="F85" s="1" t="s">
        <v>1251</v>
      </c>
      <c r="G85" s="243">
        <v>8</v>
      </c>
      <c r="H85" s="158" t="s">
        <v>1253</v>
      </c>
      <c r="I85" s="1" t="s">
        <v>1129</v>
      </c>
      <c r="J85" s="41" t="s">
        <v>127</v>
      </c>
      <c r="K85" s="146" t="s">
        <v>1253</v>
      </c>
    </row>
    <row r="86" spans="1:11" ht="42.5">
      <c r="A86" s="5" t="b">
        <v>0</v>
      </c>
      <c r="B86" s="6" t="s">
        <v>35</v>
      </c>
      <c r="C86" s="6"/>
      <c r="D86" s="6" t="b">
        <v>0</v>
      </c>
      <c r="E86" s="6" t="b">
        <v>1</v>
      </c>
      <c r="F86" s="1" t="s">
        <v>1254</v>
      </c>
      <c r="G86" s="243" t="s">
        <v>1285</v>
      </c>
      <c r="H86" s="138" t="s">
        <v>1256</v>
      </c>
      <c r="I86" s="1" t="s">
        <v>1129</v>
      </c>
      <c r="J86" s="41" t="s">
        <v>127</v>
      </c>
      <c r="K86" s="146" t="s">
        <v>1257</v>
      </c>
    </row>
    <row r="87" spans="1:11">
      <c r="A87" s="5"/>
      <c r="B87" s="6"/>
      <c r="C87" s="6"/>
      <c r="D87" s="6"/>
      <c r="E87" s="6"/>
      <c r="F87" s="140" t="s">
        <v>1258</v>
      </c>
      <c r="G87" s="243" t="s">
        <v>1135</v>
      </c>
      <c r="H87" s="142" t="s">
        <v>1222</v>
      </c>
      <c r="I87" s="1"/>
      <c r="J87" s="41" t="s">
        <v>127</v>
      </c>
      <c r="K87" s="146" t="s">
        <v>1222</v>
      </c>
    </row>
    <row r="88" spans="1:11" ht="42.5">
      <c r="A88" s="5"/>
      <c r="B88" s="6"/>
      <c r="C88" s="6"/>
      <c r="D88" s="6"/>
      <c r="E88" s="6"/>
      <c r="F88" s="141" t="s">
        <v>1259</v>
      </c>
      <c r="G88" s="243" t="s">
        <v>1286</v>
      </c>
      <c r="H88" s="143" t="s">
        <v>1261</v>
      </c>
      <c r="I88" s="1"/>
      <c r="J88" s="41" t="s">
        <v>127</v>
      </c>
      <c r="K88" s="146" t="s">
        <v>1262</v>
      </c>
    </row>
    <row r="89" spans="1:11">
      <c r="A89" s="7"/>
      <c r="B89" s="7" t="s">
        <v>35</v>
      </c>
      <c r="C89" s="7"/>
      <c r="D89" s="7" t="b">
        <v>0</v>
      </c>
      <c r="E89" s="7" t="b">
        <v>1</v>
      </c>
      <c r="F89" s="7" t="s">
        <v>37</v>
      </c>
      <c r="G89" s="244"/>
      <c r="H89" s="4"/>
      <c r="I89" s="4"/>
      <c r="J89" s="4"/>
      <c r="K89" s="4"/>
    </row>
    <row r="90" spans="1:11" ht="29">
      <c r="A90" s="5" t="b">
        <v>0</v>
      </c>
      <c r="B90" s="6" t="s">
        <v>35</v>
      </c>
      <c r="C90" s="6"/>
      <c r="D90" s="6" t="b">
        <v>0</v>
      </c>
      <c r="E90" s="6" t="b">
        <v>1</v>
      </c>
      <c r="F90" s="1"/>
      <c r="G90" s="246"/>
      <c r="H90" s="35"/>
      <c r="I90" s="1" t="s">
        <v>1129</v>
      </c>
      <c r="J90" s="41" t="s">
        <v>20</v>
      </c>
      <c r="K90" s="82" t="s">
        <v>161</v>
      </c>
    </row>
    <row r="91" spans="1:11" ht="29">
      <c r="A91" s="8" t="s">
        <v>4</v>
      </c>
      <c r="B91" s="8" t="s">
        <v>5</v>
      </c>
      <c r="C91" s="8" t="s">
        <v>6</v>
      </c>
      <c r="D91" s="8" t="s">
        <v>113</v>
      </c>
      <c r="E91" s="8" t="s">
        <v>114</v>
      </c>
      <c r="F91" s="8" t="s">
        <v>9</v>
      </c>
      <c r="G91" s="151" t="s">
        <v>10</v>
      </c>
      <c r="H91" s="8" t="s">
        <v>11</v>
      </c>
      <c r="I91" s="8" t="s">
        <v>12</v>
      </c>
      <c r="J91" s="29" t="s">
        <v>13</v>
      </c>
      <c r="K91" s="29" t="s">
        <v>14</v>
      </c>
    </row>
    <row r="92" spans="1:11">
      <c r="A92" s="9"/>
      <c r="B92" s="10" t="s">
        <v>15</v>
      </c>
      <c r="C92" s="10"/>
      <c r="D92" s="10" t="b">
        <v>0</v>
      </c>
      <c r="E92" s="10" t="b">
        <v>1</v>
      </c>
      <c r="F92" s="11" t="s">
        <v>1191</v>
      </c>
      <c r="G92" s="247"/>
      <c r="H92" s="11"/>
      <c r="I92" s="11"/>
      <c r="J92" s="11"/>
      <c r="K92" s="11"/>
    </row>
    <row r="93" spans="1:11" ht="29">
      <c r="A93" s="20"/>
      <c r="B93" s="14" t="s">
        <v>17</v>
      </c>
      <c r="C93" s="14"/>
      <c r="D93" s="14" t="b">
        <v>0</v>
      </c>
      <c r="E93" s="14" t="b">
        <v>1</v>
      </c>
      <c r="F93" s="14" t="s">
        <v>18</v>
      </c>
      <c r="G93" s="73" t="s">
        <v>1287</v>
      </c>
      <c r="H93" s="14" t="s">
        <v>1193</v>
      </c>
      <c r="I93" s="1" t="s">
        <v>1129</v>
      </c>
      <c r="J93" s="41" t="s">
        <v>127</v>
      </c>
      <c r="K93" s="144"/>
    </row>
    <row r="94" spans="1:11" hidden="1">
      <c r="A94" s="5" t="b">
        <v>1</v>
      </c>
      <c r="B94" s="6" t="s">
        <v>21</v>
      </c>
      <c r="C94" s="6"/>
      <c r="D94" s="6" t="b">
        <v>0</v>
      </c>
      <c r="E94" s="6" t="b">
        <v>1</v>
      </c>
      <c r="F94" s="1" t="s">
        <v>22</v>
      </c>
      <c r="G94" s="17" t="s">
        <v>60</v>
      </c>
      <c r="H94" s="23"/>
      <c r="I94" s="1"/>
      <c r="J94" s="41" t="s">
        <v>127</v>
      </c>
      <c r="K94" s="144"/>
    </row>
    <row r="95" spans="1:11" hidden="1">
      <c r="A95" s="5" t="b">
        <v>0</v>
      </c>
      <c r="B95" s="6" t="s">
        <v>24</v>
      </c>
      <c r="C95" s="6"/>
      <c r="D95" s="6" t="b">
        <v>0</v>
      </c>
      <c r="E95" s="6" t="b">
        <v>1</v>
      </c>
      <c r="F95" s="1" t="s">
        <v>25</v>
      </c>
      <c r="G95" s="17">
        <v>2</v>
      </c>
      <c r="H95" s="23"/>
      <c r="I95" s="1"/>
      <c r="J95" s="41" t="s">
        <v>127</v>
      </c>
      <c r="K95" s="144"/>
    </row>
    <row r="96" spans="1:11" hidden="1">
      <c r="A96" s="5" t="b">
        <v>0</v>
      </c>
      <c r="B96" s="6" t="s">
        <v>26</v>
      </c>
      <c r="C96" s="6"/>
      <c r="D96" s="6" t="b">
        <v>0</v>
      </c>
      <c r="E96" s="6" t="b">
        <v>1</v>
      </c>
      <c r="F96" s="1" t="s">
        <v>27</v>
      </c>
      <c r="G96" s="17"/>
      <c r="H96" s="23"/>
      <c r="I96" s="1"/>
      <c r="J96" s="41" t="s">
        <v>127</v>
      </c>
      <c r="K96" s="144"/>
    </row>
    <row r="97" spans="1:11" hidden="1">
      <c r="A97" s="5" t="b">
        <v>1</v>
      </c>
      <c r="B97" s="6" t="s">
        <v>28</v>
      </c>
      <c r="C97" s="6"/>
      <c r="D97" s="6" t="b">
        <v>0</v>
      </c>
      <c r="E97" s="6" t="b">
        <v>1</v>
      </c>
      <c r="F97" s="1" t="s">
        <v>29</v>
      </c>
      <c r="G97" s="17" t="s">
        <v>30</v>
      </c>
      <c r="H97" s="23"/>
      <c r="I97" s="1"/>
      <c r="J97" s="41" t="s">
        <v>127</v>
      </c>
      <c r="K97" s="144"/>
    </row>
    <row r="98" spans="1:11" hidden="1">
      <c r="A98" s="3"/>
      <c r="B98" s="4" t="s">
        <v>31</v>
      </c>
      <c r="C98" s="4"/>
      <c r="D98" s="4" t="b">
        <v>0</v>
      </c>
      <c r="E98" s="4" t="b">
        <v>1</v>
      </c>
      <c r="F98" s="7" t="s">
        <v>32</v>
      </c>
      <c r="G98" s="244"/>
      <c r="H98" s="7"/>
      <c r="I98" s="7"/>
      <c r="J98" s="41" t="s">
        <v>127</v>
      </c>
      <c r="K98" s="144"/>
    </row>
    <row r="99" spans="1:11" ht="28.5">
      <c r="A99" s="5" t="b">
        <v>0</v>
      </c>
      <c r="B99" s="6" t="s">
        <v>35</v>
      </c>
      <c r="C99" s="6"/>
      <c r="D99" s="6" t="b">
        <v>0</v>
      </c>
      <c r="E99" s="6" t="b">
        <v>1</v>
      </c>
      <c r="F99" s="25" t="s">
        <v>1194</v>
      </c>
      <c r="G99" s="243" t="s">
        <v>1288</v>
      </c>
      <c r="H99" s="137" t="s">
        <v>1196</v>
      </c>
      <c r="I99" s="1" t="s">
        <v>1129</v>
      </c>
      <c r="J99" s="41" t="s">
        <v>127</v>
      </c>
      <c r="K99" s="145" t="s">
        <v>1197</v>
      </c>
    </row>
    <row r="100" spans="1:11" ht="42.5">
      <c r="A100" s="5" t="b">
        <v>0</v>
      </c>
      <c r="B100" s="6" t="s">
        <v>35</v>
      </c>
      <c r="C100" s="6"/>
      <c r="D100" s="6" t="b">
        <v>0</v>
      </c>
      <c r="E100" s="6" t="b">
        <v>1</v>
      </c>
      <c r="F100" s="1" t="s">
        <v>1198</v>
      </c>
      <c r="G100" s="243" t="s">
        <v>1279</v>
      </c>
      <c r="H100" s="138" t="s">
        <v>1200</v>
      </c>
      <c r="I100" s="1" t="s">
        <v>1129</v>
      </c>
      <c r="J100" s="41" t="s">
        <v>127</v>
      </c>
      <c r="K100" s="146" t="s">
        <v>1201</v>
      </c>
    </row>
    <row r="101" spans="1:11">
      <c r="A101" s="5" t="b">
        <v>0</v>
      </c>
      <c r="B101" s="6" t="s">
        <v>35</v>
      </c>
      <c r="C101" s="6"/>
      <c r="D101" s="6" t="b">
        <v>0</v>
      </c>
      <c r="E101" s="6" t="b">
        <v>1</v>
      </c>
      <c r="F101" s="1" t="s">
        <v>1202</v>
      </c>
      <c r="G101" s="243" t="s">
        <v>1289</v>
      </c>
      <c r="H101" s="138" t="s">
        <v>1204</v>
      </c>
      <c r="I101" s="1" t="s">
        <v>1129</v>
      </c>
      <c r="J101" s="41" t="s">
        <v>127</v>
      </c>
      <c r="K101" s="146" t="s">
        <v>1205</v>
      </c>
    </row>
    <row r="102" spans="1:11">
      <c r="A102" s="5" t="b">
        <v>0</v>
      </c>
      <c r="B102" s="6" t="s">
        <v>35</v>
      </c>
      <c r="C102" s="6"/>
      <c r="D102" s="6" t="b">
        <v>0</v>
      </c>
      <c r="E102" s="6" t="b">
        <v>1</v>
      </c>
      <c r="F102" s="1" t="s">
        <v>1206</v>
      </c>
      <c r="G102" s="243">
        <v>16</v>
      </c>
      <c r="H102" s="138" t="s">
        <v>1207</v>
      </c>
      <c r="I102" s="1" t="s">
        <v>1129</v>
      </c>
      <c r="J102" s="41" t="s">
        <v>127</v>
      </c>
      <c r="K102" s="146" t="s">
        <v>1208</v>
      </c>
    </row>
    <row r="103" spans="1:11" ht="70.5">
      <c r="A103" s="5" t="b">
        <v>0</v>
      </c>
      <c r="B103" s="6" t="s">
        <v>35</v>
      </c>
      <c r="C103" s="6"/>
      <c r="D103" s="6" t="b">
        <v>0</v>
      </c>
      <c r="E103" s="6" t="b">
        <v>1</v>
      </c>
      <c r="F103" s="1" t="s">
        <v>1209</v>
      </c>
      <c r="G103" s="243" t="s">
        <v>1290</v>
      </c>
      <c r="H103" s="138" t="s">
        <v>1211</v>
      </c>
      <c r="I103" s="1" t="s">
        <v>1129</v>
      </c>
      <c r="J103" s="41" t="s">
        <v>127</v>
      </c>
      <c r="K103" s="146" t="s">
        <v>1212</v>
      </c>
    </row>
    <row r="104" spans="1:11" ht="28.5">
      <c r="A104" s="5" t="b">
        <v>0</v>
      </c>
      <c r="B104" s="6" t="s">
        <v>35</v>
      </c>
      <c r="C104" s="6"/>
      <c r="D104" s="6" t="b">
        <v>0</v>
      </c>
      <c r="E104" s="6" t="b">
        <v>1</v>
      </c>
      <c r="F104" s="1" t="s">
        <v>1213</v>
      </c>
      <c r="G104" s="243" t="s">
        <v>1291</v>
      </c>
      <c r="H104" s="138" t="s">
        <v>1215</v>
      </c>
      <c r="I104" s="1" t="s">
        <v>1129</v>
      </c>
      <c r="J104" s="41" t="s">
        <v>127</v>
      </c>
      <c r="K104" s="146" t="s">
        <v>1216</v>
      </c>
    </row>
    <row r="105" spans="1:11">
      <c r="A105" s="5" t="b">
        <v>0</v>
      </c>
      <c r="B105" s="6" t="s">
        <v>35</v>
      </c>
      <c r="C105" s="6"/>
      <c r="D105" s="6" t="b">
        <v>0</v>
      </c>
      <c r="E105" s="6" t="b">
        <v>1</v>
      </c>
      <c r="F105" s="1" t="s">
        <v>1217</v>
      </c>
      <c r="G105" s="243" t="s">
        <v>1269</v>
      </c>
      <c r="H105" s="138" t="s">
        <v>1219</v>
      </c>
      <c r="I105" s="1" t="s">
        <v>1129</v>
      </c>
      <c r="J105" s="41" t="s">
        <v>127</v>
      </c>
      <c r="K105" s="146" t="s">
        <v>1219</v>
      </c>
    </row>
    <row r="106" spans="1:11">
      <c r="A106" s="5"/>
      <c r="B106" s="6"/>
      <c r="C106" s="6"/>
      <c r="D106" s="6" t="b">
        <v>0</v>
      </c>
      <c r="E106" s="6" t="b">
        <v>1</v>
      </c>
      <c r="F106" s="89" t="s">
        <v>1220</v>
      </c>
      <c r="G106" s="243" t="s">
        <v>1221</v>
      </c>
      <c r="H106" s="138" t="s">
        <v>1222</v>
      </c>
      <c r="I106" s="1" t="s">
        <v>1129</v>
      </c>
      <c r="J106" s="41" t="s">
        <v>127</v>
      </c>
      <c r="K106" s="146" t="s">
        <v>1223</v>
      </c>
    </row>
    <row r="107" spans="1:11">
      <c r="A107" s="5" t="b">
        <v>0</v>
      </c>
      <c r="B107" s="6" t="s">
        <v>35</v>
      </c>
      <c r="C107" s="6"/>
      <c r="D107" s="6" t="b">
        <v>0</v>
      </c>
      <c r="E107" s="6" t="b">
        <v>1</v>
      </c>
      <c r="F107" s="1" t="s">
        <v>1224</v>
      </c>
      <c r="G107" s="243" t="s">
        <v>1292</v>
      </c>
      <c r="H107" s="138" t="s">
        <v>1226</v>
      </c>
      <c r="I107" s="1" t="s">
        <v>1129</v>
      </c>
      <c r="J107" s="41" t="s">
        <v>127</v>
      </c>
      <c r="K107" s="146" t="s">
        <v>1227</v>
      </c>
    </row>
    <row r="108" spans="1:11">
      <c r="A108" s="5" t="b">
        <v>0</v>
      </c>
      <c r="B108" s="6" t="s">
        <v>35</v>
      </c>
      <c r="C108" s="6"/>
      <c r="D108" s="6" t="b">
        <v>0</v>
      </c>
      <c r="E108" s="6" t="b">
        <v>1</v>
      </c>
      <c r="F108" s="1" t="s">
        <v>1228</v>
      </c>
      <c r="G108" s="243" t="s">
        <v>1271</v>
      </c>
      <c r="H108" s="138" t="s">
        <v>1230</v>
      </c>
      <c r="I108" s="1" t="s">
        <v>1129</v>
      </c>
      <c r="J108" s="41" t="s">
        <v>127</v>
      </c>
      <c r="K108" s="146" t="s">
        <v>1231</v>
      </c>
    </row>
    <row r="109" spans="1:11">
      <c r="A109" s="5" t="b">
        <v>0</v>
      </c>
      <c r="B109" s="6" t="s">
        <v>35</v>
      </c>
      <c r="C109" s="6"/>
      <c r="D109" s="6" t="b">
        <v>0</v>
      </c>
      <c r="E109" s="6" t="b">
        <v>1</v>
      </c>
      <c r="F109" s="1" t="s">
        <v>1232</v>
      </c>
      <c r="G109" s="243" t="s">
        <v>1293</v>
      </c>
      <c r="H109" s="138" t="s">
        <v>1234</v>
      </c>
      <c r="I109" s="1" t="s">
        <v>1129</v>
      </c>
      <c r="J109" s="41" t="s">
        <v>127</v>
      </c>
      <c r="K109" s="146" t="s">
        <v>1235</v>
      </c>
    </row>
    <row r="110" spans="1:11" ht="56.5">
      <c r="A110" s="5" t="b">
        <v>0</v>
      </c>
      <c r="B110" s="6" t="s">
        <v>35</v>
      </c>
      <c r="C110" s="6"/>
      <c r="D110" s="6" t="b">
        <v>0</v>
      </c>
      <c r="E110" s="6" t="b">
        <v>1</v>
      </c>
      <c r="F110" s="1" t="s">
        <v>1236</v>
      </c>
      <c r="G110" s="243" t="s">
        <v>1294</v>
      </c>
      <c r="H110" s="138" t="s">
        <v>1238</v>
      </c>
      <c r="I110" s="1" t="s">
        <v>1129</v>
      </c>
      <c r="J110" s="41" t="s">
        <v>127</v>
      </c>
      <c r="K110" s="146" t="s">
        <v>1239</v>
      </c>
    </row>
    <row r="111" spans="1:11" ht="42.5">
      <c r="A111" s="5" t="b">
        <v>0</v>
      </c>
      <c r="B111" s="6" t="s">
        <v>35</v>
      </c>
      <c r="C111" s="6"/>
      <c r="D111" s="6" t="b">
        <v>0</v>
      </c>
      <c r="E111" s="6" t="b">
        <v>1</v>
      </c>
      <c r="F111" s="1" t="s">
        <v>1240</v>
      </c>
      <c r="G111" s="45" t="s">
        <v>1241</v>
      </c>
      <c r="H111" s="139" t="s">
        <v>1242</v>
      </c>
      <c r="I111" s="1" t="s">
        <v>1129</v>
      </c>
      <c r="J111" s="41" t="s">
        <v>127</v>
      </c>
      <c r="K111" s="147" t="s">
        <v>1242</v>
      </c>
    </row>
    <row r="112" spans="1:11">
      <c r="A112" s="5" t="b">
        <v>0</v>
      </c>
      <c r="B112" s="6" t="s">
        <v>35</v>
      </c>
      <c r="C112" s="6"/>
      <c r="D112" s="6" t="b">
        <v>0</v>
      </c>
      <c r="E112" s="6" t="b">
        <v>1</v>
      </c>
      <c r="F112" s="1" t="s">
        <v>1243</v>
      </c>
      <c r="G112" s="243" t="s">
        <v>1274</v>
      </c>
      <c r="H112" s="137" t="s">
        <v>1245</v>
      </c>
      <c r="I112" s="1" t="s">
        <v>1129</v>
      </c>
      <c r="J112" s="41" t="s">
        <v>127</v>
      </c>
      <c r="K112" s="146" t="s">
        <v>1246</v>
      </c>
    </row>
    <row r="113" spans="1:11" ht="112.5">
      <c r="A113" s="5" t="b">
        <v>0</v>
      </c>
      <c r="B113" s="6" t="s">
        <v>35</v>
      </c>
      <c r="C113" s="6"/>
      <c r="D113" s="6" t="b">
        <v>0</v>
      </c>
      <c r="E113" s="6" t="b">
        <v>1</v>
      </c>
      <c r="F113" s="1" t="s">
        <v>1247</v>
      </c>
      <c r="G113" s="243" t="s">
        <v>1295</v>
      </c>
      <c r="H113" s="138" t="s">
        <v>1249</v>
      </c>
      <c r="I113" s="1" t="s">
        <v>1129</v>
      </c>
      <c r="J113" s="41" t="s">
        <v>127</v>
      </c>
      <c r="K113" s="146" t="s">
        <v>1250</v>
      </c>
    </row>
    <row r="114" spans="1:11" ht="140.5">
      <c r="A114" s="5" t="b">
        <v>0</v>
      </c>
      <c r="B114" s="6" t="s">
        <v>35</v>
      </c>
      <c r="C114" s="6"/>
      <c r="D114" s="6" t="b">
        <v>0</v>
      </c>
      <c r="E114" s="6" t="b">
        <v>1</v>
      </c>
      <c r="F114" s="1" t="s">
        <v>1251</v>
      </c>
      <c r="G114" s="243">
        <v>8</v>
      </c>
      <c r="H114" s="158" t="s">
        <v>1253</v>
      </c>
      <c r="I114" s="1" t="s">
        <v>1129</v>
      </c>
      <c r="J114" s="41" t="s">
        <v>127</v>
      </c>
      <c r="K114" s="146" t="s">
        <v>1253</v>
      </c>
    </row>
    <row r="115" spans="1:11" ht="42.5">
      <c r="A115" s="5" t="b">
        <v>0</v>
      </c>
      <c r="B115" s="6" t="s">
        <v>35</v>
      </c>
      <c r="C115" s="6"/>
      <c r="D115" s="6" t="b">
        <v>0</v>
      </c>
      <c r="E115" s="6" t="b">
        <v>1</v>
      </c>
      <c r="F115" s="1" t="s">
        <v>1254</v>
      </c>
      <c r="G115" s="243" t="s">
        <v>1255</v>
      </c>
      <c r="H115" s="138" t="s">
        <v>1256</v>
      </c>
      <c r="I115" s="1" t="s">
        <v>1129</v>
      </c>
      <c r="J115" s="41" t="s">
        <v>127</v>
      </c>
      <c r="K115" s="146" t="s">
        <v>1257</v>
      </c>
    </row>
    <row r="116" spans="1:11">
      <c r="A116" s="5"/>
      <c r="B116" s="6"/>
      <c r="C116" s="6"/>
      <c r="D116" s="6"/>
      <c r="E116" s="6"/>
      <c r="F116" s="140" t="s">
        <v>1258</v>
      </c>
      <c r="G116" s="243" t="s">
        <v>1221</v>
      </c>
      <c r="H116" s="142" t="s">
        <v>1222</v>
      </c>
      <c r="I116" s="1"/>
      <c r="J116" s="41" t="s">
        <v>127</v>
      </c>
      <c r="K116" s="146" t="s">
        <v>1222</v>
      </c>
    </row>
    <row r="117" spans="1:11" ht="42.5">
      <c r="A117" s="5"/>
      <c r="B117" s="6"/>
      <c r="C117" s="6"/>
      <c r="D117" s="6"/>
      <c r="E117" s="6"/>
      <c r="F117" s="141" t="s">
        <v>1259</v>
      </c>
      <c r="G117" s="243" t="s">
        <v>1296</v>
      </c>
      <c r="H117" s="143" t="s">
        <v>1261</v>
      </c>
      <c r="I117" s="1"/>
      <c r="J117" s="41" t="s">
        <v>127</v>
      </c>
      <c r="K117" s="146" t="s">
        <v>1262</v>
      </c>
    </row>
    <row r="118" spans="1:11">
      <c r="A118" s="7"/>
      <c r="B118" s="7" t="s">
        <v>35</v>
      </c>
      <c r="C118" s="7"/>
      <c r="D118" s="7" t="b">
        <v>0</v>
      </c>
      <c r="E118" s="7" t="b">
        <v>1</v>
      </c>
      <c r="F118" s="7" t="s">
        <v>37</v>
      </c>
      <c r="G118" s="244"/>
      <c r="H118" s="4"/>
      <c r="I118" s="4"/>
      <c r="J118" s="4"/>
      <c r="K118" s="4"/>
    </row>
    <row r="119" spans="1:11" ht="29">
      <c r="A119" s="5" t="b">
        <v>0</v>
      </c>
      <c r="B119" s="6" t="s">
        <v>35</v>
      </c>
      <c r="C119" s="6"/>
      <c r="D119" s="6" t="b">
        <v>0</v>
      </c>
      <c r="E119" s="6" t="b">
        <v>1</v>
      </c>
      <c r="F119" s="1"/>
      <c r="G119" s="246"/>
      <c r="H119" s="35"/>
      <c r="I119" s="1" t="s">
        <v>1129</v>
      </c>
      <c r="J119" s="41" t="s">
        <v>20</v>
      </c>
      <c r="K119" s="82" t="s">
        <v>161</v>
      </c>
    </row>
    <row r="120" spans="1:11" ht="29">
      <c r="A120" s="8" t="s">
        <v>4</v>
      </c>
      <c r="B120" s="8" t="s">
        <v>5</v>
      </c>
      <c r="C120" s="8" t="s">
        <v>6</v>
      </c>
      <c r="D120" s="8" t="s">
        <v>113</v>
      </c>
      <c r="E120" s="8" t="s">
        <v>114</v>
      </c>
      <c r="F120" s="8" t="s">
        <v>9</v>
      </c>
      <c r="G120" s="151" t="s">
        <v>10</v>
      </c>
      <c r="H120" s="8" t="s">
        <v>11</v>
      </c>
      <c r="I120" s="8" t="s">
        <v>12</v>
      </c>
      <c r="J120" s="29" t="s">
        <v>13</v>
      </c>
      <c r="K120" s="29" t="s">
        <v>14</v>
      </c>
    </row>
    <row r="121" spans="1:11">
      <c r="A121" s="9"/>
      <c r="B121" s="10" t="s">
        <v>15</v>
      </c>
      <c r="C121" s="10"/>
      <c r="D121" s="10" t="b">
        <v>0</v>
      </c>
      <c r="E121" s="10" t="b">
        <v>1</v>
      </c>
      <c r="F121" s="11" t="s">
        <v>1191</v>
      </c>
      <c r="G121" s="247"/>
      <c r="H121" s="11"/>
      <c r="I121" s="11"/>
      <c r="J121" s="11"/>
      <c r="K121" s="11"/>
    </row>
    <row r="122" spans="1:11" ht="29">
      <c r="A122" s="20"/>
      <c r="B122" s="14" t="s">
        <v>17</v>
      </c>
      <c r="C122" s="14"/>
      <c r="D122" s="14" t="b">
        <v>0</v>
      </c>
      <c r="E122" s="14" t="b">
        <v>1</v>
      </c>
      <c r="F122" s="14" t="s">
        <v>18</v>
      </c>
      <c r="G122" s="73" t="s">
        <v>1297</v>
      </c>
      <c r="H122" s="14" t="s">
        <v>1193</v>
      </c>
      <c r="I122" s="1" t="s">
        <v>1129</v>
      </c>
      <c r="J122" s="41" t="s">
        <v>127</v>
      </c>
      <c r="K122" s="144"/>
    </row>
    <row r="123" spans="1:11" hidden="1">
      <c r="A123" s="5" t="b">
        <v>1</v>
      </c>
      <c r="B123" s="6" t="s">
        <v>21</v>
      </c>
      <c r="C123" s="6"/>
      <c r="D123" s="6" t="b">
        <v>0</v>
      </c>
      <c r="E123" s="6" t="b">
        <v>1</v>
      </c>
      <c r="F123" s="1" t="s">
        <v>22</v>
      </c>
      <c r="G123" s="17" t="s">
        <v>60</v>
      </c>
      <c r="H123" s="23"/>
      <c r="I123" s="1"/>
      <c r="J123" s="41" t="s">
        <v>127</v>
      </c>
      <c r="K123" s="144"/>
    </row>
    <row r="124" spans="1:11" hidden="1">
      <c r="A124" s="5" t="b">
        <v>0</v>
      </c>
      <c r="B124" s="6" t="s">
        <v>24</v>
      </c>
      <c r="C124" s="6"/>
      <c r="D124" s="6" t="b">
        <v>0</v>
      </c>
      <c r="E124" s="6" t="b">
        <v>1</v>
      </c>
      <c r="F124" s="1" t="s">
        <v>25</v>
      </c>
      <c r="G124" s="17">
        <v>2</v>
      </c>
      <c r="H124" s="23"/>
      <c r="I124" s="1"/>
      <c r="J124" s="41" t="s">
        <v>127</v>
      </c>
      <c r="K124" s="144"/>
    </row>
    <row r="125" spans="1:11" hidden="1">
      <c r="A125" s="5" t="b">
        <v>0</v>
      </c>
      <c r="B125" s="6" t="s">
        <v>26</v>
      </c>
      <c r="C125" s="6"/>
      <c r="D125" s="6" t="b">
        <v>0</v>
      </c>
      <c r="E125" s="6" t="b">
        <v>1</v>
      </c>
      <c r="F125" s="1" t="s">
        <v>27</v>
      </c>
      <c r="G125" s="17"/>
      <c r="H125" s="23"/>
      <c r="I125" s="1"/>
      <c r="J125" s="41" t="s">
        <v>127</v>
      </c>
      <c r="K125" s="144"/>
    </row>
    <row r="126" spans="1:11" hidden="1">
      <c r="A126" s="5" t="b">
        <v>1</v>
      </c>
      <c r="B126" s="6" t="s">
        <v>28</v>
      </c>
      <c r="C126" s="6"/>
      <c r="D126" s="6" t="b">
        <v>0</v>
      </c>
      <c r="E126" s="6" t="b">
        <v>1</v>
      </c>
      <c r="F126" s="1" t="s">
        <v>29</v>
      </c>
      <c r="G126" s="17" t="s">
        <v>30</v>
      </c>
      <c r="H126" s="23"/>
      <c r="I126" s="1"/>
      <c r="J126" s="41" t="s">
        <v>127</v>
      </c>
      <c r="K126" s="144"/>
    </row>
    <row r="127" spans="1:11" hidden="1">
      <c r="A127" s="3"/>
      <c r="B127" s="4" t="s">
        <v>31</v>
      </c>
      <c r="C127" s="4"/>
      <c r="D127" s="4" t="b">
        <v>0</v>
      </c>
      <c r="E127" s="4" t="b">
        <v>1</v>
      </c>
      <c r="F127" s="7" t="s">
        <v>32</v>
      </c>
      <c r="G127" s="244"/>
      <c r="H127" s="7"/>
      <c r="I127" s="7"/>
      <c r="J127" s="41" t="s">
        <v>127</v>
      </c>
      <c r="K127" s="144"/>
    </row>
    <row r="128" spans="1:11" ht="28.5">
      <c r="A128" s="5" t="b">
        <v>0</v>
      </c>
      <c r="B128" s="6" t="s">
        <v>35</v>
      </c>
      <c r="C128" s="6"/>
      <c r="D128" s="6" t="b">
        <v>0</v>
      </c>
      <c r="E128" s="6" t="b">
        <v>1</v>
      </c>
      <c r="F128" s="25" t="s">
        <v>1194</v>
      </c>
      <c r="G128" s="243" t="s">
        <v>1278</v>
      </c>
      <c r="H128" s="137" t="s">
        <v>1196</v>
      </c>
      <c r="I128" s="1" t="s">
        <v>1129</v>
      </c>
      <c r="J128" s="41" t="s">
        <v>127</v>
      </c>
      <c r="K128" s="145" t="s">
        <v>1197</v>
      </c>
    </row>
    <row r="129" spans="1:11" ht="42.5">
      <c r="A129" s="5" t="b">
        <v>0</v>
      </c>
      <c r="B129" s="6" t="s">
        <v>35</v>
      </c>
      <c r="C129" s="6"/>
      <c r="D129" s="6" t="b">
        <v>0</v>
      </c>
      <c r="E129" s="6" t="b">
        <v>1</v>
      </c>
      <c r="F129" s="1" t="s">
        <v>1198</v>
      </c>
      <c r="G129" s="243" t="s">
        <v>1265</v>
      </c>
      <c r="H129" s="138" t="s">
        <v>1200</v>
      </c>
      <c r="I129" s="1" t="s">
        <v>1129</v>
      </c>
      <c r="J129" s="41" t="s">
        <v>127</v>
      </c>
      <c r="K129" s="146" t="s">
        <v>1201</v>
      </c>
    </row>
    <row r="130" spans="1:11">
      <c r="A130" s="5" t="b">
        <v>0</v>
      </c>
      <c r="B130" s="6" t="s">
        <v>35</v>
      </c>
      <c r="C130" s="6"/>
      <c r="D130" s="6" t="b">
        <v>0</v>
      </c>
      <c r="E130" s="6" t="b">
        <v>1</v>
      </c>
      <c r="F130" s="1" t="s">
        <v>1202</v>
      </c>
      <c r="G130" s="243" t="s">
        <v>1298</v>
      </c>
      <c r="H130" s="138" t="s">
        <v>1204</v>
      </c>
      <c r="I130" s="1" t="s">
        <v>1129</v>
      </c>
      <c r="J130" s="41" t="s">
        <v>127</v>
      </c>
      <c r="K130" s="146" t="s">
        <v>1205</v>
      </c>
    </row>
    <row r="131" spans="1:11">
      <c r="A131" s="5" t="b">
        <v>0</v>
      </c>
      <c r="B131" s="6" t="s">
        <v>35</v>
      </c>
      <c r="C131" s="6"/>
      <c r="D131" s="6" t="b">
        <v>0</v>
      </c>
      <c r="E131" s="6" t="b">
        <v>1</v>
      </c>
      <c r="F131" s="1" t="s">
        <v>1206</v>
      </c>
      <c r="G131" s="243">
        <v>16</v>
      </c>
      <c r="H131" s="138" t="s">
        <v>1207</v>
      </c>
      <c r="I131" s="1" t="s">
        <v>1129</v>
      </c>
      <c r="J131" s="41" t="s">
        <v>127</v>
      </c>
      <c r="K131" s="146" t="s">
        <v>1208</v>
      </c>
    </row>
    <row r="132" spans="1:11" ht="70.5">
      <c r="A132" s="5" t="b">
        <v>0</v>
      </c>
      <c r="B132" s="6" t="s">
        <v>35</v>
      </c>
      <c r="C132" s="6"/>
      <c r="D132" s="6" t="b">
        <v>0</v>
      </c>
      <c r="E132" s="6" t="b">
        <v>1</v>
      </c>
      <c r="F132" s="1" t="s">
        <v>1209</v>
      </c>
      <c r="G132" s="243" t="s">
        <v>1290</v>
      </c>
      <c r="H132" s="138" t="s">
        <v>1211</v>
      </c>
      <c r="I132" s="1" t="s">
        <v>1129</v>
      </c>
      <c r="J132" s="41" t="s">
        <v>127</v>
      </c>
      <c r="K132" s="146" t="s">
        <v>1212</v>
      </c>
    </row>
    <row r="133" spans="1:11" ht="28.5">
      <c r="A133" s="5" t="b">
        <v>0</v>
      </c>
      <c r="B133" s="6" t="s">
        <v>35</v>
      </c>
      <c r="C133" s="6"/>
      <c r="D133" s="6" t="b">
        <v>0</v>
      </c>
      <c r="E133" s="6" t="b">
        <v>1</v>
      </c>
      <c r="F133" s="1" t="s">
        <v>1213</v>
      </c>
      <c r="G133" s="243" t="s">
        <v>1291</v>
      </c>
      <c r="H133" s="138" t="s">
        <v>1215</v>
      </c>
      <c r="I133" s="1" t="s">
        <v>1129</v>
      </c>
      <c r="J133" s="41" t="s">
        <v>127</v>
      </c>
      <c r="K133" s="146" t="s">
        <v>1216</v>
      </c>
    </row>
    <row r="134" spans="1:11">
      <c r="A134" s="5" t="b">
        <v>0</v>
      </c>
      <c r="B134" s="6" t="s">
        <v>35</v>
      </c>
      <c r="C134" s="6"/>
      <c r="D134" s="6" t="b">
        <v>0</v>
      </c>
      <c r="E134" s="6" t="b">
        <v>1</v>
      </c>
      <c r="F134" s="1" t="s">
        <v>1217</v>
      </c>
      <c r="G134" s="243" t="s">
        <v>1269</v>
      </c>
      <c r="H134" s="138" t="s">
        <v>1219</v>
      </c>
      <c r="I134" s="1" t="s">
        <v>1129</v>
      </c>
      <c r="J134" s="41" t="s">
        <v>127</v>
      </c>
      <c r="K134" s="146" t="s">
        <v>1219</v>
      </c>
    </row>
    <row r="135" spans="1:11">
      <c r="A135" s="5"/>
      <c r="B135" s="6"/>
      <c r="C135" s="6"/>
      <c r="D135" s="6" t="b">
        <v>0</v>
      </c>
      <c r="E135" s="6" t="b">
        <v>1</v>
      </c>
      <c r="F135" s="89" t="s">
        <v>1220</v>
      </c>
      <c r="G135" s="243" t="s">
        <v>1135</v>
      </c>
      <c r="H135" s="138" t="s">
        <v>1222</v>
      </c>
      <c r="I135" s="1" t="s">
        <v>1129</v>
      </c>
      <c r="J135" s="41" t="s">
        <v>127</v>
      </c>
      <c r="K135" s="146" t="s">
        <v>1223</v>
      </c>
    </row>
    <row r="136" spans="1:11">
      <c r="A136" s="5" t="b">
        <v>0</v>
      </c>
      <c r="B136" s="6" t="s">
        <v>35</v>
      </c>
      <c r="C136" s="6"/>
      <c r="D136" s="6" t="b">
        <v>0</v>
      </c>
      <c r="E136" s="6" t="b">
        <v>1</v>
      </c>
      <c r="F136" s="1" t="s">
        <v>1224</v>
      </c>
      <c r="G136" s="243" t="s">
        <v>1292</v>
      </c>
      <c r="H136" s="138" t="s">
        <v>1226</v>
      </c>
      <c r="I136" s="1" t="s">
        <v>1129</v>
      </c>
      <c r="J136" s="41" t="s">
        <v>127</v>
      </c>
      <c r="K136" s="146" t="s">
        <v>1227</v>
      </c>
    </row>
    <row r="137" spans="1:11">
      <c r="A137" s="5" t="b">
        <v>0</v>
      </c>
      <c r="B137" s="6" t="s">
        <v>35</v>
      </c>
      <c r="C137" s="6"/>
      <c r="D137" s="6" t="b">
        <v>0</v>
      </c>
      <c r="E137" s="6" t="b">
        <v>1</v>
      </c>
      <c r="F137" s="1" t="s">
        <v>1228</v>
      </c>
      <c r="G137" s="243" t="s">
        <v>1271</v>
      </c>
      <c r="H137" s="138" t="s">
        <v>1230</v>
      </c>
      <c r="I137" s="1" t="s">
        <v>1129</v>
      </c>
      <c r="J137" s="41" t="s">
        <v>127</v>
      </c>
      <c r="K137" s="146" t="s">
        <v>1231</v>
      </c>
    </row>
    <row r="138" spans="1:11">
      <c r="A138" s="5" t="b">
        <v>0</v>
      </c>
      <c r="B138" s="6" t="s">
        <v>35</v>
      </c>
      <c r="C138" s="6"/>
      <c r="D138" s="6" t="b">
        <v>0</v>
      </c>
      <c r="E138" s="6" t="b">
        <v>1</v>
      </c>
      <c r="F138" s="1" t="s">
        <v>1232</v>
      </c>
      <c r="G138" s="243" t="s">
        <v>1293</v>
      </c>
      <c r="H138" s="138" t="s">
        <v>1234</v>
      </c>
      <c r="I138" s="1" t="s">
        <v>1129</v>
      </c>
      <c r="J138" s="41" t="s">
        <v>127</v>
      </c>
      <c r="K138" s="146" t="s">
        <v>1235</v>
      </c>
    </row>
    <row r="139" spans="1:11" ht="56.5">
      <c r="A139" s="5" t="b">
        <v>0</v>
      </c>
      <c r="B139" s="6" t="s">
        <v>35</v>
      </c>
      <c r="C139" s="6"/>
      <c r="D139" s="6" t="b">
        <v>0</v>
      </c>
      <c r="E139" s="6" t="b">
        <v>1</v>
      </c>
      <c r="F139" s="1" t="s">
        <v>1236</v>
      </c>
      <c r="G139" s="243" t="s">
        <v>1283</v>
      </c>
      <c r="H139" s="138" t="s">
        <v>1238</v>
      </c>
      <c r="I139" s="1" t="s">
        <v>1129</v>
      </c>
      <c r="J139" s="41" t="s">
        <v>127</v>
      </c>
      <c r="K139" s="146" t="s">
        <v>1239</v>
      </c>
    </row>
    <row r="140" spans="1:11" ht="42.5">
      <c r="A140" s="5" t="b">
        <v>0</v>
      </c>
      <c r="B140" s="6" t="s">
        <v>35</v>
      </c>
      <c r="C140" s="6"/>
      <c r="D140" s="6" t="b">
        <v>0</v>
      </c>
      <c r="E140" s="6" t="b">
        <v>1</v>
      </c>
      <c r="F140" s="1" t="s">
        <v>1240</v>
      </c>
      <c r="G140" s="243" t="s">
        <v>1241</v>
      </c>
      <c r="H140" s="139" t="s">
        <v>1242</v>
      </c>
      <c r="I140" s="1" t="s">
        <v>1129</v>
      </c>
      <c r="J140" s="41" t="s">
        <v>127</v>
      </c>
      <c r="K140" s="147" t="s">
        <v>1242</v>
      </c>
    </row>
    <row r="141" spans="1:11">
      <c r="A141" s="5" t="b">
        <v>0</v>
      </c>
      <c r="B141" s="6" t="s">
        <v>35</v>
      </c>
      <c r="C141" s="6"/>
      <c r="D141" s="6" t="b">
        <v>0</v>
      </c>
      <c r="E141" s="6" t="b">
        <v>1</v>
      </c>
      <c r="F141" s="1" t="s">
        <v>1243</v>
      </c>
      <c r="G141" s="45" t="s">
        <v>1274</v>
      </c>
      <c r="H141" s="137" t="s">
        <v>1245</v>
      </c>
      <c r="I141" s="1" t="s">
        <v>1129</v>
      </c>
      <c r="J141" s="41" t="s">
        <v>127</v>
      </c>
      <c r="K141" s="146" t="s">
        <v>1246</v>
      </c>
    </row>
    <row r="142" spans="1:11" ht="112.5">
      <c r="A142" s="5" t="b">
        <v>0</v>
      </c>
      <c r="B142" s="6" t="s">
        <v>35</v>
      </c>
      <c r="C142" s="6"/>
      <c r="D142" s="6" t="b">
        <v>0</v>
      </c>
      <c r="E142" s="6" t="b">
        <v>1</v>
      </c>
      <c r="F142" s="1" t="s">
        <v>1247</v>
      </c>
      <c r="G142" s="243" t="s">
        <v>1295</v>
      </c>
      <c r="H142" s="138" t="s">
        <v>1249</v>
      </c>
      <c r="I142" s="1" t="s">
        <v>1129</v>
      </c>
      <c r="J142" s="41" t="s">
        <v>127</v>
      </c>
      <c r="K142" s="146" t="s">
        <v>1250</v>
      </c>
    </row>
    <row r="143" spans="1:11" ht="140.5">
      <c r="A143" s="5" t="b">
        <v>0</v>
      </c>
      <c r="B143" s="6" t="s">
        <v>35</v>
      </c>
      <c r="C143" s="6"/>
      <c r="D143" s="6" t="b">
        <v>0</v>
      </c>
      <c r="E143" s="6" t="b">
        <v>1</v>
      </c>
      <c r="F143" s="1" t="s">
        <v>1251</v>
      </c>
      <c r="G143" s="243">
        <v>8</v>
      </c>
      <c r="H143" s="158" t="s">
        <v>1253</v>
      </c>
      <c r="I143" s="1" t="s">
        <v>1129</v>
      </c>
      <c r="J143" s="41" t="s">
        <v>127</v>
      </c>
      <c r="K143" s="146" t="s">
        <v>1253</v>
      </c>
    </row>
    <row r="144" spans="1:11" ht="42.5">
      <c r="A144" s="5" t="b">
        <v>0</v>
      </c>
      <c r="B144" s="6" t="s">
        <v>35</v>
      </c>
      <c r="C144" s="6"/>
      <c r="D144" s="6" t="b">
        <v>0</v>
      </c>
      <c r="E144" s="6" t="b">
        <v>1</v>
      </c>
      <c r="F144" s="1" t="s">
        <v>1254</v>
      </c>
      <c r="G144" s="243" t="s">
        <v>1255</v>
      </c>
      <c r="H144" s="138" t="s">
        <v>1256</v>
      </c>
      <c r="I144" s="1" t="s">
        <v>1129</v>
      </c>
      <c r="J144" s="41" t="s">
        <v>127</v>
      </c>
      <c r="K144" s="146" t="s">
        <v>1257</v>
      </c>
    </row>
    <row r="145" spans="1:11">
      <c r="A145" s="5"/>
      <c r="B145" s="6"/>
      <c r="C145" s="6"/>
      <c r="D145" s="6"/>
      <c r="E145" s="6"/>
      <c r="F145" s="140" t="s">
        <v>1258</v>
      </c>
      <c r="G145" s="243" t="s">
        <v>1221</v>
      </c>
      <c r="H145" s="142" t="s">
        <v>1222</v>
      </c>
      <c r="I145" s="1"/>
      <c r="J145" s="41" t="s">
        <v>127</v>
      </c>
      <c r="K145" s="146" t="s">
        <v>1222</v>
      </c>
    </row>
    <row r="146" spans="1:11" ht="42.5">
      <c r="A146" s="5"/>
      <c r="B146" s="6"/>
      <c r="C146" s="6"/>
      <c r="D146" s="6"/>
      <c r="E146" s="6"/>
      <c r="F146" s="141" t="s">
        <v>1259</v>
      </c>
      <c r="G146" s="243" t="s">
        <v>1299</v>
      </c>
      <c r="H146" s="143" t="s">
        <v>1261</v>
      </c>
      <c r="I146" s="1"/>
      <c r="J146" s="41" t="s">
        <v>127</v>
      </c>
      <c r="K146" s="146" t="s">
        <v>1262</v>
      </c>
    </row>
    <row r="147" spans="1:11">
      <c r="A147" s="7"/>
      <c r="B147" s="7" t="s">
        <v>35</v>
      </c>
      <c r="C147" s="7"/>
      <c r="D147" s="7" t="b">
        <v>0</v>
      </c>
      <c r="E147" s="7" t="b">
        <v>1</v>
      </c>
      <c r="F147" s="7" t="s">
        <v>37</v>
      </c>
      <c r="G147" s="7"/>
      <c r="H147" s="4"/>
      <c r="I147" s="4"/>
      <c r="J147" s="4"/>
      <c r="K147" s="4"/>
    </row>
    <row r="148" spans="1:11" ht="29">
      <c r="A148" s="5" t="b">
        <v>0</v>
      </c>
      <c r="B148" s="6" t="s">
        <v>35</v>
      </c>
      <c r="C148" s="6"/>
      <c r="D148" s="6" t="b">
        <v>0</v>
      </c>
      <c r="E148" s="6" t="b">
        <v>1</v>
      </c>
      <c r="F148" s="1"/>
      <c r="G148" s="94"/>
      <c r="H148" s="35"/>
      <c r="I148" s="1" t="s">
        <v>1129</v>
      </c>
      <c r="J148" s="41" t="s">
        <v>20</v>
      </c>
      <c r="K148" s="82" t="s">
        <v>161</v>
      </c>
    </row>
    <row r="149" spans="1:11" ht="29">
      <c r="A149" s="8" t="s">
        <v>4</v>
      </c>
      <c r="B149" s="8" t="s">
        <v>5</v>
      </c>
      <c r="C149" s="8" t="s">
        <v>6</v>
      </c>
      <c r="D149" s="8" t="s">
        <v>113</v>
      </c>
      <c r="E149" s="8" t="s">
        <v>114</v>
      </c>
      <c r="F149" s="8" t="s">
        <v>9</v>
      </c>
      <c r="G149" s="8" t="s">
        <v>10</v>
      </c>
      <c r="H149" s="8" t="s">
        <v>11</v>
      </c>
      <c r="I149" s="8" t="s">
        <v>12</v>
      </c>
      <c r="J149" s="29" t="s">
        <v>13</v>
      </c>
      <c r="K149" s="29" t="s">
        <v>14</v>
      </c>
    </row>
    <row r="150" spans="1:11">
      <c r="A150" s="9"/>
      <c r="B150" s="10" t="s">
        <v>15</v>
      </c>
      <c r="C150" s="10"/>
      <c r="D150" s="10" t="b">
        <v>0</v>
      </c>
      <c r="E150" s="10" t="b">
        <v>1</v>
      </c>
      <c r="F150" s="11" t="s">
        <v>1191</v>
      </c>
      <c r="G150" s="11"/>
      <c r="H150" s="11"/>
      <c r="I150" s="11"/>
      <c r="J150" s="11"/>
      <c r="K150" s="11"/>
    </row>
    <row r="151" spans="1:11" ht="29">
      <c r="A151" s="20"/>
      <c r="B151" s="14" t="s">
        <v>17</v>
      </c>
      <c r="C151" s="14"/>
      <c r="D151" s="14" t="b">
        <v>0</v>
      </c>
      <c r="E151" s="14" t="b">
        <v>1</v>
      </c>
      <c r="F151" s="14" t="s">
        <v>18</v>
      </c>
      <c r="G151" s="14"/>
      <c r="H151" s="14" t="s">
        <v>1193</v>
      </c>
      <c r="I151" s="1" t="s">
        <v>1129</v>
      </c>
      <c r="J151" s="41" t="s">
        <v>20</v>
      </c>
      <c r="K151" s="144"/>
    </row>
    <row r="152" spans="1:11" hidden="1">
      <c r="A152" s="5" t="b">
        <v>1</v>
      </c>
      <c r="B152" s="6" t="s">
        <v>21</v>
      </c>
      <c r="C152" s="6"/>
      <c r="D152" s="6" t="b">
        <v>0</v>
      </c>
      <c r="E152" s="6" t="b">
        <v>1</v>
      </c>
      <c r="F152" s="1" t="s">
        <v>22</v>
      </c>
      <c r="G152" s="1" t="s">
        <v>60</v>
      </c>
      <c r="H152" s="23"/>
      <c r="I152" s="1"/>
      <c r="J152" s="1"/>
      <c r="K152" s="144"/>
    </row>
    <row r="153" spans="1:11" hidden="1">
      <c r="A153" s="5" t="b">
        <v>0</v>
      </c>
      <c r="B153" s="6" t="s">
        <v>24</v>
      </c>
      <c r="C153" s="6"/>
      <c r="D153" s="6" t="b">
        <v>0</v>
      </c>
      <c r="E153" s="6" t="b">
        <v>1</v>
      </c>
      <c r="F153" s="1" t="s">
        <v>25</v>
      </c>
      <c r="G153" s="1">
        <v>2</v>
      </c>
      <c r="H153" s="23"/>
      <c r="I153" s="1"/>
      <c r="J153" s="1"/>
      <c r="K153" s="144"/>
    </row>
    <row r="154" spans="1:11" hidden="1">
      <c r="A154" s="5" t="b">
        <v>0</v>
      </c>
      <c r="B154" s="6" t="s">
        <v>26</v>
      </c>
      <c r="C154" s="6"/>
      <c r="D154" s="6" t="b">
        <v>0</v>
      </c>
      <c r="E154" s="6" t="b">
        <v>1</v>
      </c>
      <c r="F154" s="1" t="s">
        <v>27</v>
      </c>
      <c r="G154" s="1"/>
      <c r="H154" s="23"/>
      <c r="I154" s="1"/>
      <c r="J154" s="1"/>
      <c r="K154" s="144"/>
    </row>
    <row r="155" spans="1:11" hidden="1">
      <c r="A155" s="5" t="b">
        <v>1</v>
      </c>
      <c r="B155" s="6" t="s">
        <v>28</v>
      </c>
      <c r="C155" s="6"/>
      <c r="D155" s="6" t="b">
        <v>0</v>
      </c>
      <c r="E155" s="6" t="b">
        <v>1</v>
      </c>
      <c r="F155" s="1" t="s">
        <v>29</v>
      </c>
      <c r="G155" s="1" t="s">
        <v>30</v>
      </c>
      <c r="H155" s="23"/>
      <c r="I155" s="1"/>
      <c r="J155" s="1"/>
      <c r="K155" s="144"/>
    </row>
    <row r="156" spans="1:11" hidden="1">
      <c r="A156" s="3"/>
      <c r="B156" s="4" t="s">
        <v>31</v>
      </c>
      <c r="C156" s="4"/>
      <c r="D156" s="4" t="b">
        <v>0</v>
      </c>
      <c r="E156" s="4" t="b">
        <v>1</v>
      </c>
      <c r="F156" s="7" t="s">
        <v>32</v>
      </c>
      <c r="G156" s="7"/>
      <c r="H156" s="7"/>
      <c r="I156" s="7"/>
      <c r="J156" s="7"/>
      <c r="K156" s="144"/>
    </row>
    <row r="157" spans="1:11" ht="28.5">
      <c r="A157" s="5" t="b">
        <v>0</v>
      </c>
      <c r="B157" s="6" t="s">
        <v>35</v>
      </c>
      <c r="C157" s="6"/>
      <c r="D157" s="6" t="b">
        <v>0</v>
      </c>
      <c r="E157" s="6" t="b">
        <v>1</v>
      </c>
      <c r="F157" s="25" t="s">
        <v>1194</v>
      </c>
      <c r="G157" s="40"/>
      <c r="H157" s="137" t="s">
        <v>1196</v>
      </c>
      <c r="I157" s="1" t="s">
        <v>1129</v>
      </c>
      <c r="J157" s="41" t="s">
        <v>20</v>
      </c>
      <c r="K157" s="145" t="s">
        <v>1197</v>
      </c>
    </row>
    <row r="158" spans="1:11" ht="42.5">
      <c r="A158" s="5" t="b">
        <v>0</v>
      </c>
      <c r="B158" s="6" t="s">
        <v>35</v>
      </c>
      <c r="C158" s="6"/>
      <c r="D158" s="6" t="b">
        <v>0</v>
      </c>
      <c r="E158" s="6" t="b">
        <v>1</v>
      </c>
      <c r="F158" s="1" t="s">
        <v>1198</v>
      </c>
      <c r="G158" s="40"/>
      <c r="H158" s="138" t="s">
        <v>1200</v>
      </c>
      <c r="I158" s="1" t="s">
        <v>1129</v>
      </c>
      <c r="J158" s="41" t="s">
        <v>20</v>
      </c>
      <c r="K158" s="146" t="s">
        <v>1201</v>
      </c>
    </row>
    <row r="159" spans="1:11">
      <c r="A159" s="5" t="b">
        <v>0</v>
      </c>
      <c r="B159" s="6" t="s">
        <v>35</v>
      </c>
      <c r="C159" s="6"/>
      <c r="D159" s="6" t="b">
        <v>0</v>
      </c>
      <c r="E159" s="6" t="b">
        <v>1</v>
      </c>
      <c r="F159" s="1" t="s">
        <v>1202</v>
      </c>
      <c r="G159" s="40"/>
      <c r="H159" s="138" t="s">
        <v>1204</v>
      </c>
      <c r="I159" s="1" t="s">
        <v>1129</v>
      </c>
      <c r="J159" s="41" t="s">
        <v>20</v>
      </c>
      <c r="K159" s="146" t="s">
        <v>1205</v>
      </c>
    </row>
    <row r="160" spans="1:11">
      <c r="A160" s="5" t="b">
        <v>0</v>
      </c>
      <c r="B160" s="6" t="s">
        <v>35</v>
      </c>
      <c r="C160" s="6"/>
      <c r="D160" s="6" t="b">
        <v>0</v>
      </c>
      <c r="E160" s="6" t="b">
        <v>1</v>
      </c>
      <c r="F160" s="1" t="s">
        <v>1206</v>
      </c>
      <c r="G160" s="40"/>
      <c r="H160" s="138" t="s">
        <v>1207</v>
      </c>
      <c r="I160" s="1" t="s">
        <v>1129</v>
      </c>
      <c r="J160" s="41" t="s">
        <v>20</v>
      </c>
      <c r="K160" s="146" t="s">
        <v>1208</v>
      </c>
    </row>
    <row r="161" spans="1:11" ht="70.5">
      <c r="A161" s="5" t="b">
        <v>0</v>
      </c>
      <c r="B161" s="6" t="s">
        <v>35</v>
      </c>
      <c r="C161" s="6"/>
      <c r="D161" s="6" t="b">
        <v>0</v>
      </c>
      <c r="E161" s="6" t="b">
        <v>1</v>
      </c>
      <c r="F161" s="1" t="s">
        <v>1209</v>
      </c>
      <c r="G161" s="40"/>
      <c r="H161" s="138" t="s">
        <v>1211</v>
      </c>
      <c r="I161" s="1" t="s">
        <v>1129</v>
      </c>
      <c r="J161" s="41"/>
      <c r="K161" s="146" t="s">
        <v>1212</v>
      </c>
    </row>
    <row r="162" spans="1:11" ht="28.5">
      <c r="A162" s="5" t="b">
        <v>0</v>
      </c>
      <c r="B162" s="6" t="s">
        <v>35</v>
      </c>
      <c r="C162" s="6"/>
      <c r="D162" s="6" t="b">
        <v>0</v>
      </c>
      <c r="E162" s="6" t="b">
        <v>1</v>
      </c>
      <c r="F162" s="1" t="s">
        <v>1213</v>
      </c>
      <c r="G162" s="40"/>
      <c r="H162" s="138" t="s">
        <v>1215</v>
      </c>
      <c r="I162" s="1" t="s">
        <v>1129</v>
      </c>
      <c r="J162" s="41"/>
      <c r="K162" s="146" t="s">
        <v>1216</v>
      </c>
    </row>
    <row r="163" spans="1:11">
      <c r="A163" s="5" t="b">
        <v>0</v>
      </c>
      <c r="B163" s="6" t="s">
        <v>35</v>
      </c>
      <c r="C163" s="6"/>
      <c r="D163" s="6" t="b">
        <v>0</v>
      </c>
      <c r="E163" s="6" t="b">
        <v>1</v>
      </c>
      <c r="F163" s="1" t="s">
        <v>1217</v>
      </c>
      <c r="G163" s="40"/>
      <c r="H163" s="138" t="s">
        <v>1219</v>
      </c>
      <c r="I163" s="1" t="s">
        <v>1129</v>
      </c>
      <c r="J163" s="41" t="s">
        <v>20</v>
      </c>
      <c r="K163" s="146" t="s">
        <v>1219</v>
      </c>
    </row>
    <row r="164" spans="1:11">
      <c r="A164" s="5"/>
      <c r="B164" s="6"/>
      <c r="C164" s="6"/>
      <c r="D164" s="6" t="b">
        <v>0</v>
      </c>
      <c r="E164" s="6" t="b">
        <v>1</v>
      </c>
      <c r="F164" s="89" t="s">
        <v>1220</v>
      </c>
      <c r="G164" s="40"/>
      <c r="H164" s="138" t="s">
        <v>1222</v>
      </c>
      <c r="I164" s="1" t="s">
        <v>1129</v>
      </c>
      <c r="J164" s="41"/>
      <c r="K164" s="146" t="s">
        <v>1223</v>
      </c>
    </row>
    <row r="165" spans="1:11">
      <c r="A165" s="5" t="b">
        <v>0</v>
      </c>
      <c r="B165" s="6" t="s">
        <v>35</v>
      </c>
      <c r="C165" s="6"/>
      <c r="D165" s="6" t="b">
        <v>0</v>
      </c>
      <c r="E165" s="6" t="b">
        <v>1</v>
      </c>
      <c r="F165" s="1" t="s">
        <v>1224</v>
      </c>
      <c r="G165" s="40"/>
      <c r="H165" s="138" t="s">
        <v>1226</v>
      </c>
      <c r="I165" s="1" t="s">
        <v>1129</v>
      </c>
      <c r="J165" s="41" t="s">
        <v>20</v>
      </c>
      <c r="K165" s="146" t="s">
        <v>1227</v>
      </c>
    </row>
    <row r="166" spans="1:11">
      <c r="A166" s="5" t="b">
        <v>0</v>
      </c>
      <c r="B166" s="6" t="s">
        <v>35</v>
      </c>
      <c r="C166" s="6"/>
      <c r="D166" s="6" t="b">
        <v>0</v>
      </c>
      <c r="E166" s="6" t="b">
        <v>1</v>
      </c>
      <c r="F166" s="1" t="s">
        <v>1228</v>
      </c>
      <c r="G166" s="40"/>
      <c r="H166" s="138" t="s">
        <v>1230</v>
      </c>
      <c r="I166" s="1" t="s">
        <v>1129</v>
      </c>
      <c r="J166" s="41" t="s">
        <v>20</v>
      </c>
      <c r="K166" s="146" t="s">
        <v>1231</v>
      </c>
    </row>
    <row r="167" spans="1:11">
      <c r="A167" s="5" t="b">
        <v>0</v>
      </c>
      <c r="B167" s="6" t="s">
        <v>35</v>
      </c>
      <c r="C167" s="6"/>
      <c r="D167" s="6" t="b">
        <v>0</v>
      </c>
      <c r="E167" s="6" t="b">
        <v>1</v>
      </c>
      <c r="F167" s="1" t="s">
        <v>1232</v>
      </c>
      <c r="G167" s="40"/>
      <c r="H167" s="138" t="s">
        <v>1234</v>
      </c>
      <c r="I167" s="1" t="s">
        <v>1129</v>
      </c>
      <c r="J167" s="41" t="s">
        <v>20</v>
      </c>
      <c r="K167" s="146" t="s">
        <v>1235</v>
      </c>
    </row>
    <row r="168" spans="1:11" ht="56.5">
      <c r="A168" s="5" t="b">
        <v>0</v>
      </c>
      <c r="B168" s="6" t="s">
        <v>35</v>
      </c>
      <c r="C168" s="6"/>
      <c r="D168" s="6" t="b">
        <v>0</v>
      </c>
      <c r="E168" s="6" t="b">
        <v>1</v>
      </c>
      <c r="F168" s="1" t="s">
        <v>1236</v>
      </c>
      <c r="G168" s="40"/>
      <c r="H168" s="138" t="s">
        <v>1238</v>
      </c>
      <c r="I168" s="1" t="s">
        <v>1129</v>
      </c>
      <c r="J168" s="41" t="s">
        <v>20</v>
      </c>
      <c r="K168" s="146" t="s">
        <v>1239</v>
      </c>
    </row>
    <row r="169" spans="1:11" ht="42.5">
      <c r="A169" s="5" t="b">
        <v>0</v>
      </c>
      <c r="B169" s="6" t="s">
        <v>35</v>
      </c>
      <c r="C169" s="6"/>
      <c r="D169" s="6" t="b">
        <v>0</v>
      </c>
      <c r="E169" s="6" t="b">
        <v>1</v>
      </c>
      <c r="F169" s="1" t="s">
        <v>1240</v>
      </c>
      <c r="G169" s="40"/>
      <c r="H169" s="139" t="s">
        <v>1242</v>
      </c>
      <c r="I169" s="1" t="s">
        <v>1129</v>
      </c>
      <c r="J169" s="41" t="s">
        <v>20</v>
      </c>
      <c r="K169" s="147" t="s">
        <v>1242</v>
      </c>
    </row>
    <row r="170" spans="1:11">
      <c r="A170" s="5" t="b">
        <v>0</v>
      </c>
      <c r="B170" s="6" t="s">
        <v>35</v>
      </c>
      <c r="C170" s="6"/>
      <c r="D170" s="6" t="b">
        <v>0</v>
      </c>
      <c r="E170" s="6" t="b">
        <v>1</v>
      </c>
      <c r="F170" s="1" t="s">
        <v>1243</v>
      </c>
      <c r="G170" s="45"/>
      <c r="H170" s="137" t="s">
        <v>1245</v>
      </c>
      <c r="I170" s="1" t="s">
        <v>1129</v>
      </c>
      <c r="J170" s="41" t="s">
        <v>20</v>
      </c>
      <c r="K170" s="146" t="s">
        <v>1246</v>
      </c>
    </row>
    <row r="171" spans="1:11" ht="112.5">
      <c r="A171" s="5" t="b">
        <v>0</v>
      </c>
      <c r="B171" s="6" t="s">
        <v>35</v>
      </c>
      <c r="C171" s="6"/>
      <c r="D171" s="6" t="b">
        <v>0</v>
      </c>
      <c r="E171" s="6" t="b">
        <v>1</v>
      </c>
      <c r="F171" s="1" t="s">
        <v>1247</v>
      </c>
      <c r="G171" s="40"/>
      <c r="H171" s="138" t="s">
        <v>1249</v>
      </c>
      <c r="I171" s="1" t="s">
        <v>1129</v>
      </c>
      <c r="J171" s="41" t="s">
        <v>20</v>
      </c>
      <c r="K171" s="146" t="s">
        <v>1250</v>
      </c>
    </row>
    <row r="172" spans="1:11" ht="140.5">
      <c r="A172" s="5" t="b">
        <v>0</v>
      </c>
      <c r="B172" s="6" t="s">
        <v>35</v>
      </c>
      <c r="C172" s="6"/>
      <c r="D172" s="6" t="b">
        <v>0</v>
      </c>
      <c r="E172" s="6" t="b">
        <v>1</v>
      </c>
      <c r="F172" s="1" t="s">
        <v>1251</v>
      </c>
      <c r="G172" s="46"/>
      <c r="H172" s="158" t="s">
        <v>1253</v>
      </c>
      <c r="I172" s="1" t="s">
        <v>1129</v>
      </c>
      <c r="J172" s="41" t="s">
        <v>20</v>
      </c>
      <c r="K172" s="146" t="s">
        <v>1253</v>
      </c>
    </row>
    <row r="173" spans="1:11" ht="42.5">
      <c r="A173" s="5" t="b">
        <v>0</v>
      </c>
      <c r="B173" s="6" t="s">
        <v>35</v>
      </c>
      <c r="C173" s="6"/>
      <c r="D173" s="6" t="b">
        <v>0</v>
      </c>
      <c r="E173" s="6" t="b">
        <v>1</v>
      </c>
      <c r="F173" s="1" t="s">
        <v>1254</v>
      </c>
      <c r="G173" s="40"/>
      <c r="H173" s="138" t="s">
        <v>1256</v>
      </c>
      <c r="I173" s="1" t="s">
        <v>1129</v>
      </c>
      <c r="J173" s="41" t="s">
        <v>20</v>
      </c>
      <c r="K173" s="146" t="s">
        <v>1257</v>
      </c>
    </row>
    <row r="174" spans="1:11">
      <c r="A174" s="5"/>
      <c r="B174" s="6"/>
      <c r="C174" s="6"/>
      <c r="D174" s="6"/>
      <c r="E174" s="6"/>
      <c r="F174" s="140" t="s">
        <v>1258</v>
      </c>
      <c r="G174" s="40"/>
      <c r="H174" s="142" t="s">
        <v>1222</v>
      </c>
      <c r="I174" s="1"/>
      <c r="J174" s="41"/>
      <c r="K174" s="146" t="s">
        <v>1222</v>
      </c>
    </row>
    <row r="175" spans="1:11" ht="42.5">
      <c r="A175" s="5"/>
      <c r="B175" s="6"/>
      <c r="C175" s="6"/>
      <c r="D175" s="6"/>
      <c r="E175" s="6"/>
      <c r="F175" s="141" t="s">
        <v>1259</v>
      </c>
      <c r="G175" s="40"/>
      <c r="H175" s="143" t="s">
        <v>1261</v>
      </c>
      <c r="I175" s="1"/>
      <c r="J175" s="41"/>
      <c r="K175" s="146" t="s">
        <v>1262</v>
      </c>
    </row>
    <row r="176" spans="1:11">
      <c r="A176" s="7"/>
      <c r="B176" s="7" t="s">
        <v>35</v>
      </c>
      <c r="C176" s="7"/>
      <c r="D176" s="7" t="b">
        <v>0</v>
      </c>
      <c r="E176" s="7" t="b">
        <v>1</v>
      </c>
      <c r="F176" s="7" t="s">
        <v>37</v>
      </c>
      <c r="G176" s="7"/>
      <c r="H176" s="4"/>
      <c r="I176" s="4"/>
      <c r="J176" s="4"/>
      <c r="K176" s="4"/>
    </row>
    <row r="177" spans="1:11" ht="29">
      <c r="A177" s="5" t="b">
        <v>0</v>
      </c>
      <c r="B177" s="6" t="s">
        <v>35</v>
      </c>
      <c r="C177" s="6"/>
      <c r="D177" s="6" t="b">
        <v>0</v>
      </c>
      <c r="E177" s="6" t="b">
        <v>1</v>
      </c>
      <c r="F177" s="1"/>
      <c r="G177" s="94"/>
      <c r="H177" s="35"/>
      <c r="I177" s="1" t="s">
        <v>1129</v>
      </c>
      <c r="J177" s="41" t="s">
        <v>20</v>
      </c>
      <c r="K177" s="82" t="s">
        <v>161</v>
      </c>
    </row>
    <row r="178" spans="1:11" ht="29">
      <c r="A178" s="8" t="s">
        <v>4</v>
      </c>
      <c r="B178" s="8" t="s">
        <v>5</v>
      </c>
      <c r="C178" s="8" t="s">
        <v>6</v>
      </c>
      <c r="D178" s="8" t="s">
        <v>113</v>
      </c>
      <c r="E178" s="8" t="s">
        <v>114</v>
      </c>
      <c r="F178" s="8" t="s">
        <v>9</v>
      </c>
      <c r="G178" s="8" t="s">
        <v>10</v>
      </c>
      <c r="H178" s="8" t="s">
        <v>11</v>
      </c>
      <c r="I178" s="8" t="s">
        <v>12</v>
      </c>
      <c r="J178" s="29" t="s">
        <v>13</v>
      </c>
      <c r="K178" s="29" t="s">
        <v>14</v>
      </c>
    </row>
    <row r="179" spans="1:11">
      <c r="A179" s="9"/>
      <c r="B179" s="10" t="s">
        <v>15</v>
      </c>
      <c r="C179" s="10"/>
      <c r="D179" s="10" t="b">
        <v>0</v>
      </c>
      <c r="E179" s="10" t="b">
        <v>1</v>
      </c>
      <c r="F179" s="11" t="s">
        <v>1191</v>
      </c>
      <c r="G179" s="11"/>
      <c r="H179" s="11"/>
      <c r="I179" s="11"/>
      <c r="J179" s="11"/>
      <c r="K179" s="11"/>
    </row>
    <row r="180" spans="1:11" ht="29">
      <c r="A180" s="20"/>
      <c r="B180" s="14" t="s">
        <v>17</v>
      </c>
      <c r="C180" s="14"/>
      <c r="D180" s="14" t="b">
        <v>0</v>
      </c>
      <c r="E180" s="14" t="b">
        <v>1</v>
      </c>
      <c r="F180" s="14" t="s">
        <v>18</v>
      </c>
      <c r="G180" s="14"/>
      <c r="H180" s="14" t="s">
        <v>1193</v>
      </c>
      <c r="I180" s="1" t="s">
        <v>1129</v>
      </c>
      <c r="J180" s="41" t="s">
        <v>20</v>
      </c>
      <c r="K180" s="144"/>
    </row>
    <row r="181" spans="1:11" hidden="1">
      <c r="A181" s="5" t="b">
        <v>1</v>
      </c>
      <c r="B181" s="6" t="s">
        <v>21</v>
      </c>
      <c r="C181" s="6"/>
      <c r="D181" s="6" t="b">
        <v>0</v>
      </c>
      <c r="E181" s="6" t="b">
        <v>1</v>
      </c>
      <c r="F181" s="1" t="s">
        <v>22</v>
      </c>
      <c r="G181" s="1" t="s">
        <v>60</v>
      </c>
      <c r="H181" s="23"/>
      <c r="I181" s="1"/>
      <c r="J181" s="1"/>
      <c r="K181" s="144"/>
    </row>
    <row r="182" spans="1:11" hidden="1">
      <c r="A182" s="5" t="b">
        <v>0</v>
      </c>
      <c r="B182" s="6" t="s">
        <v>24</v>
      </c>
      <c r="C182" s="6"/>
      <c r="D182" s="6" t="b">
        <v>0</v>
      </c>
      <c r="E182" s="6" t="b">
        <v>1</v>
      </c>
      <c r="F182" s="1" t="s">
        <v>25</v>
      </c>
      <c r="G182" s="1">
        <v>2</v>
      </c>
      <c r="H182" s="23"/>
      <c r="I182" s="1"/>
      <c r="J182" s="1"/>
      <c r="K182" s="144"/>
    </row>
    <row r="183" spans="1:11" hidden="1">
      <c r="A183" s="5" t="b">
        <v>0</v>
      </c>
      <c r="B183" s="6" t="s">
        <v>26</v>
      </c>
      <c r="C183" s="6"/>
      <c r="D183" s="6" t="b">
        <v>0</v>
      </c>
      <c r="E183" s="6" t="b">
        <v>1</v>
      </c>
      <c r="F183" s="1" t="s">
        <v>27</v>
      </c>
      <c r="G183" s="1"/>
      <c r="H183" s="23"/>
      <c r="I183" s="1"/>
      <c r="J183" s="1"/>
      <c r="K183" s="144"/>
    </row>
    <row r="184" spans="1:11" hidden="1">
      <c r="A184" s="5" t="b">
        <v>1</v>
      </c>
      <c r="B184" s="6" t="s">
        <v>28</v>
      </c>
      <c r="C184" s="6"/>
      <c r="D184" s="6" t="b">
        <v>0</v>
      </c>
      <c r="E184" s="6" t="b">
        <v>1</v>
      </c>
      <c r="F184" s="1" t="s">
        <v>29</v>
      </c>
      <c r="G184" s="1" t="s">
        <v>30</v>
      </c>
      <c r="H184" s="23"/>
      <c r="I184" s="1"/>
      <c r="J184" s="1"/>
      <c r="K184" s="144"/>
    </row>
    <row r="185" spans="1:11" hidden="1">
      <c r="A185" s="3"/>
      <c r="B185" s="4" t="s">
        <v>31</v>
      </c>
      <c r="C185" s="4"/>
      <c r="D185" s="4" t="b">
        <v>0</v>
      </c>
      <c r="E185" s="4" t="b">
        <v>1</v>
      </c>
      <c r="F185" s="7" t="s">
        <v>32</v>
      </c>
      <c r="G185" s="7"/>
      <c r="H185" s="7"/>
      <c r="I185" s="7"/>
      <c r="J185" s="7"/>
      <c r="K185" s="144"/>
    </row>
    <row r="186" spans="1:11" ht="28.5">
      <c r="A186" s="5" t="b">
        <v>0</v>
      </c>
      <c r="B186" s="6" t="s">
        <v>35</v>
      </c>
      <c r="C186" s="6"/>
      <c r="D186" s="6" t="b">
        <v>0</v>
      </c>
      <c r="E186" s="6" t="b">
        <v>1</v>
      </c>
      <c r="F186" s="25" t="s">
        <v>1194</v>
      </c>
      <c r="G186" s="40"/>
      <c r="H186" s="137" t="s">
        <v>1196</v>
      </c>
      <c r="I186" s="1" t="s">
        <v>1129</v>
      </c>
      <c r="J186" s="41" t="s">
        <v>20</v>
      </c>
      <c r="K186" s="145" t="s">
        <v>1197</v>
      </c>
    </row>
    <row r="187" spans="1:11" ht="42.5">
      <c r="A187" s="5" t="b">
        <v>0</v>
      </c>
      <c r="B187" s="6" t="s">
        <v>35</v>
      </c>
      <c r="C187" s="6"/>
      <c r="D187" s="6" t="b">
        <v>0</v>
      </c>
      <c r="E187" s="6" t="b">
        <v>1</v>
      </c>
      <c r="F187" s="1" t="s">
        <v>1198</v>
      </c>
      <c r="G187" s="40"/>
      <c r="H187" s="138" t="s">
        <v>1200</v>
      </c>
      <c r="I187" s="1" t="s">
        <v>1129</v>
      </c>
      <c r="J187" s="41" t="s">
        <v>20</v>
      </c>
      <c r="K187" s="146" t="s">
        <v>1201</v>
      </c>
    </row>
    <row r="188" spans="1:11">
      <c r="A188" s="5" t="b">
        <v>0</v>
      </c>
      <c r="B188" s="6" t="s">
        <v>35</v>
      </c>
      <c r="C188" s="6"/>
      <c r="D188" s="6" t="b">
        <v>0</v>
      </c>
      <c r="E188" s="6" t="b">
        <v>1</v>
      </c>
      <c r="F188" s="1" t="s">
        <v>1202</v>
      </c>
      <c r="G188" s="40"/>
      <c r="H188" s="138" t="s">
        <v>1204</v>
      </c>
      <c r="I188" s="1" t="s">
        <v>1129</v>
      </c>
      <c r="J188" s="41" t="s">
        <v>20</v>
      </c>
      <c r="K188" s="146" t="s">
        <v>1205</v>
      </c>
    </row>
    <row r="189" spans="1:11">
      <c r="A189" s="5" t="b">
        <v>0</v>
      </c>
      <c r="B189" s="6" t="s">
        <v>35</v>
      </c>
      <c r="C189" s="6"/>
      <c r="D189" s="6" t="b">
        <v>0</v>
      </c>
      <c r="E189" s="6" t="b">
        <v>1</v>
      </c>
      <c r="F189" s="1" t="s">
        <v>1206</v>
      </c>
      <c r="G189" s="40"/>
      <c r="H189" s="138" t="s">
        <v>1207</v>
      </c>
      <c r="I189" s="1" t="s">
        <v>1129</v>
      </c>
      <c r="J189" s="41" t="s">
        <v>20</v>
      </c>
      <c r="K189" s="146" t="s">
        <v>1208</v>
      </c>
    </row>
    <row r="190" spans="1:11" ht="70.5">
      <c r="A190" s="5" t="b">
        <v>0</v>
      </c>
      <c r="B190" s="6" t="s">
        <v>35</v>
      </c>
      <c r="C190" s="6"/>
      <c r="D190" s="6" t="b">
        <v>0</v>
      </c>
      <c r="E190" s="6" t="b">
        <v>1</v>
      </c>
      <c r="F190" s="1" t="s">
        <v>1209</v>
      </c>
      <c r="G190" s="40"/>
      <c r="H190" s="138" t="s">
        <v>1211</v>
      </c>
      <c r="I190" s="1" t="s">
        <v>1129</v>
      </c>
      <c r="J190" s="41"/>
      <c r="K190" s="146" t="s">
        <v>1212</v>
      </c>
    </row>
    <row r="191" spans="1:11" ht="28.5">
      <c r="A191" s="5" t="b">
        <v>0</v>
      </c>
      <c r="B191" s="6" t="s">
        <v>35</v>
      </c>
      <c r="C191" s="6"/>
      <c r="D191" s="6" t="b">
        <v>0</v>
      </c>
      <c r="E191" s="6" t="b">
        <v>1</v>
      </c>
      <c r="F191" s="1" t="s">
        <v>1213</v>
      </c>
      <c r="G191" s="40"/>
      <c r="H191" s="138" t="s">
        <v>1215</v>
      </c>
      <c r="I191" s="1" t="s">
        <v>1129</v>
      </c>
      <c r="J191" s="41"/>
      <c r="K191" s="146" t="s">
        <v>1216</v>
      </c>
    </row>
    <row r="192" spans="1:11">
      <c r="A192" s="5" t="b">
        <v>0</v>
      </c>
      <c r="B192" s="6" t="s">
        <v>35</v>
      </c>
      <c r="C192" s="6"/>
      <c r="D192" s="6" t="b">
        <v>0</v>
      </c>
      <c r="E192" s="6" t="b">
        <v>1</v>
      </c>
      <c r="F192" s="1" t="s">
        <v>1217</v>
      </c>
      <c r="G192" s="40"/>
      <c r="H192" s="138" t="s">
        <v>1219</v>
      </c>
      <c r="I192" s="1" t="s">
        <v>1129</v>
      </c>
      <c r="J192" s="41" t="s">
        <v>20</v>
      </c>
      <c r="K192" s="146" t="s">
        <v>1219</v>
      </c>
    </row>
    <row r="193" spans="1:11">
      <c r="A193" s="5"/>
      <c r="B193" s="6"/>
      <c r="C193" s="6"/>
      <c r="D193" s="6" t="b">
        <v>0</v>
      </c>
      <c r="E193" s="6" t="b">
        <v>1</v>
      </c>
      <c r="F193" s="89" t="s">
        <v>1220</v>
      </c>
      <c r="G193" s="40"/>
      <c r="H193" s="138" t="s">
        <v>1222</v>
      </c>
      <c r="I193" s="1" t="s">
        <v>1129</v>
      </c>
      <c r="J193" s="41"/>
      <c r="K193" s="146" t="s">
        <v>1223</v>
      </c>
    </row>
    <row r="194" spans="1:11">
      <c r="A194" s="5" t="b">
        <v>0</v>
      </c>
      <c r="B194" s="6" t="s">
        <v>35</v>
      </c>
      <c r="C194" s="6"/>
      <c r="D194" s="6" t="b">
        <v>0</v>
      </c>
      <c r="E194" s="6" t="b">
        <v>1</v>
      </c>
      <c r="F194" s="1" t="s">
        <v>1224</v>
      </c>
      <c r="G194" s="40"/>
      <c r="H194" s="138" t="s">
        <v>1226</v>
      </c>
      <c r="I194" s="1" t="s">
        <v>1129</v>
      </c>
      <c r="J194" s="41" t="s">
        <v>20</v>
      </c>
      <c r="K194" s="146" t="s">
        <v>1227</v>
      </c>
    </row>
    <row r="195" spans="1:11">
      <c r="A195" s="5" t="b">
        <v>0</v>
      </c>
      <c r="B195" s="6" t="s">
        <v>35</v>
      </c>
      <c r="C195" s="6"/>
      <c r="D195" s="6" t="b">
        <v>0</v>
      </c>
      <c r="E195" s="6" t="b">
        <v>1</v>
      </c>
      <c r="F195" s="1" t="s">
        <v>1228</v>
      </c>
      <c r="G195" s="40"/>
      <c r="H195" s="138" t="s">
        <v>1230</v>
      </c>
      <c r="I195" s="1" t="s">
        <v>1129</v>
      </c>
      <c r="J195" s="41" t="s">
        <v>20</v>
      </c>
      <c r="K195" s="146" t="s">
        <v>1231</v>
      </c>
    </row>
    <row r="196" spans="1:11">
      <c r="A196" s="5" t="b">
        <v>0</v>
      </c>
      <c r="B196" s="6" t="s">
        <v>35</v>
      </c>
      <c r="C196" s="6"/>
      <c r="D196" s="6" t="b">
        <v>0</v>
      </c>
      <c r="E196" s="6" t="b">
        <v>1</v>
      </c>
      <c r="F196" s="1" t="s">
        <v>1232</v>
      </c>
      <c r="G196" s="40"/>
      <c r="H196" s="138" t="s">
        <v>1234</v>
      </c>
      <c r="I196" s="1" t="s">
        <v>1129</v>
      </c>
      <c r="J196" s="41" t="s">
        <v>20</v>
      </c>
      <c r="K196" s="146" t="s">
        <v>1235</v>
      </c>
    </row>
    <row r="197" spans="1:11" ht="56.5">
      <c r="A197" s="5" t="b">
        <v>0</v>
      </c>
      <c r="B197" s="6" t="s">
        <v>35</v>
      </c>
      <c r="C197" s="6"/>
      <c r="D197" s="6" t="b">
        <v>0</v>
      </c>
      <c r="E197" s="6" t="b">
        <v>1</v>
      </c>
      <c r="F197" s="1" t="s">
        <v>1236</v>
      </c>
      <c r="G197" s="40"/>
      <c r="H197" s="138" t="s">
        <v>1238</v>
      </c>
      <c r="I197" s="1" t="s">
        <v>1129</v>
      </c>
      <c r="J197" s="41" t="s">
        <v>20</v>
      </c>
      <c r="K197" s="146" t="s">
        <v>1239</v>
      </c>
    </row>
    <row r="198" spans="1:11" ht="42.5">
      <c r="A198" s="5" t="b">
        <v>0</v>
      </c>
      <c r="B198" s="6" t="s">
        <v>35</v>
      </c>
      <c r="C198" s="6"/>
      <c r="D198" s="6" t="b">
        <v>0</v>
      </c>
      <c r="E198" s="6" t="b">
        <v>1</v>
      </c>
      <c r="F198" s="1" t="s">
        <v>1240</v>
      </c>
      <c r="G198" s="40"/>
      <c r="H198" s="139" t="s">
        <v>1242</v>
      </c>
      <c r="I198" s="1" t="s">
        <v>1129</v>
      </c>
      <c r="J198" s="41" t="s">
        <v>20</v>
      </c>
      <c r="K198" s="147" t="s">
        <v>1242</v>
      </c>
    </row>
    <row r="199" spans="1:11">
      <c r="A199" s="5" t="b">
        <v>0</v>
      </c>
      <c r="B199" s="6" t="s">
        <v>35</v>
      </c>
      <c r="C199" s="6"/>
      <c r="D199" s="6" t="b">
        <v>0</v>
      </c>
      <c r="E199" s="6" t="b">
        <v>1</v>
      </c>
      <c r="F199" s="1" t="s">
        <v>1243</v>
      </c>
      <c r="G199" s="45"/>
      <c r="H199" s="137" t="s">
        <v>1245</v>
      </c>
      <c r="I199" s="1" t="s">
        <v>1129</v>
      </c>
      <c r="J199" s="41" t="s">
        <v>20</v>
      </c>
      <c r="K199" s="146" t="s">
        <v>1246</v>
      </c>
    </row>
    <row r="200" spans="1:11" ht="112.5">
      <c r="A200" s="5" t="b">
        <v>0</v>
      </c>
      <c r="B200" s="6" t="s">
        <v>35</v>
      </c>
      <c r="C200" s="6"/>
      <c r="D200" s="6" t="b">
        <v>0</v>
      </c>
      <c r="E200" s="6" t="b">
        <v>1</v>
      </c>
      <c r="F200" s="1" t="s">
        <v>1247</v>
      </c>
      <c r="G200" s="40"/>
      <c r="H200" s="138" t="s">
        <v>1249</v>
      </c>
      <c r="I200" s="1" t="s">
        <v>1129</v>
      </c>
      <c r="J200" s="41" t="s">
        <v>20</v>
      </c>
      <c r="K200" s="146" t="s">
        <v>1250</v>
      </c>
    </row>
    <row r="201" spans="1:11" ht="140.5">
      <c r="A201" s="5" t="b">
        <v>0</v>
      </c>
      <c r="B201" s="6" t="s">
        <v>35</v>
      </c>
      <c r="C201" s="6"/>
      <c r="D201" s="6" t="b">
        <v>0</v>
      </c>
      <c r="E201" s="6" t="b">
        <v>1</v>
      </c>
      <c r="F201" s="1" t="s">
        <v>1251</v>
      </c>
      <c r="G201" s="46"/>
      <c r="H201" s="158" t="s">
        <v>1253</v>
      </c>
      <c r="I201" s="1" t="s">
        <v>1129</v>
      </c>
      <c r="J201" s="41" t="s">
        <v>20</v>
      </c>
      <c r="K201" s="146" t="s">
        <v>1253</v>
      </c>
    </row>
    <row r="202" spans="1:11" ht="42.5">
      <c r="A202" s="5" t="b">
        <v>0</v>
      </c>
      <c r="B202" s="6" t="s">
        <v>35</v>
      </c>
      <c r="C202" s="6"/>
      <c r="D202" s="6" t="b">
        <v>0</v>
      </c>
      <c r="E202" s="6" t="b">
        <v>1</v>
      </c>
      <c r="F202" s="1" t="s">
        <v>1254</v>
      </c>
      <c r="G202" s="40"/>
      <c r="H202" s="138" t="s">
        <v>1256</v>
      </c>
      <c r="I202" s="1" t="s">
        <v>1129</v>
      </c>
      <c r="J202" s="41" t="s">
        <v>20</v>
      </c>
      <c r="K202" s="146" t="s">
        <v>1257</v>
      </c>
    </row>
    <row r="203" spans="1:11">
      <c r="A203" s="5"/>
      <c r="B203" s="6"/>
      <c r="C203" s="6"/>
      <c r="D203" s="6"/>
      <c r="E203" s="6"/>
      <c r="F203" s="140" t="s">
        <v>1258</v>
      </c>
      <c r="G203" s="40"/>
      <c r="H203" s="142" t="s">
        <v>1222</v>
      </c>
      <c r="I203" s="1"/>
      <c r="J203" s="41"/>
      <c r="K203" s="146" t="s">
        <v>1222</v>
      </c>
    </row>
    <row r="204" spans="1:11" ht="42.5">
      <c r="A204" s="5"/>
      <c r="B204" s="6"/>
      <c r="C204" s="6"/>
      <c r="D204" s="6"/>
      <c r="E204" s="6"/>
      <c r="F204" s="141" t="s">
        <v>1259</v>
      </c>
      <c r="G204" s="40"/>
      <c r="H204" s="143" t="s">
        <v>1261</v>
      </c>
      <c r="I204" s="1"/>
      <c r="J204" s="41"/>
      <c r="K204" s="146" t="s">
        <v>1262</v>
      </c>
    </row>
    <row r="205" spans="1:11">
      <c r="A205" s="7"/>
      <c r="B205" s="7" t="s">
        <v>35</v>
      </c>
      <c r="C205" s="7"/>
      <c r="D205" s="7" t="b">
        <v>0</v>
      </c>
      <c r="E205" s="7" t="b">
        <v>1</v>
      </c>
      <c r="F205" s="7" t="s">
        <v>37</v>
      </c>
      <c r="G205" s="7"/>
      <c r="H205" s="4"/>
      <c r="I205" s="4"/>
      <c r="J205" s="4"/>
      <c r="K205" s="4"/>
    </row>
    <row r="206" spans="1:11" ht="29">
      <c r="A206" s="5" t="b">
        <v>0</v>
      </c>
      <c r="B206" s="6" t="s">
        <v>35</v>
      </c>
      <c r="C206" s="6"/>
      <c r="D206" s="6" t="b">
        <v>0</v>
      </c>
      <c r="E206" s="6" t="b">
        <v>1</v>
      </c>
      <c r="F206" s="1"/>
      <c r="G206" s="94"/>
      <c r="H206" s="35"/>
      <c r="I206" s="1" t="s">
        <v>1129</v>
      </c>
      <c r="J206" s="41" t="s">
        <v>20</v>
      </c>
      <c r="K206" s="82" t="s">
        <v>161</v>
      </c>
    </row>
    <row r="207" spans="1:11" ht="29">
      <c r="A207" s="8" t="s">
        <v>4</v>
      </c>
      <c r="B207" s="8" t="s">
        <v>5</v>
      </c>
      <c r="C207" s="8" t="s">
        <v>6</v>
      </c>
      <c r="D207" s="8" t="s">
        <v>113</v>
      </c>
      <c r="E207" s="8" t="s">
        <v>114</v>
      </c>
      <c r="F207" s="8" t="s">
        <v>9</v>
      </c>
      <c r="G207" s="8" t="s">
        <v>10</v>
      </c>
      <c r="H207" s="8" t="s">
        <v>11</v>
      </c>
      <c r="I207" s="8" t="s">
        <v>12</v>
      </c>
      <c r="J207" s="29" t="s">
        <v>13</v>
      </c>
      <c r="K207" s="29" t="s">
        <v>14</v>
      </c>
    </row>
    <row r="208" spans="1:11">
      <c r="A208" s="9"/>
      <c r="B208" s="10" t="s">
        <v>15</v>
      </c>
      <c r="C208" s="10"/>
      <c r="D208" s="10" t="b">
        <v>0</v>
      </c>
      <c r="E208" s="10" t="b">
        <v>1</v>
      </c>
      <c r="F208" s="11" t="s">
        <v>1191</v>
      </c>
      <c r="G208" s="11"/>
      <c r="H208" s="11"/>
      <c r="I208" s="11"/>
      <c r="J208" s="11"/>
      <c r="K208" s="11"/>
    </row>
    <row r="209" spans="1:11" ht="29">
      <c r="A209" s="20"/>
      <c r="B209" s="14" t="s">
        <v>17</v>
      </c>
      <c r="C209" s="14"/>
      <c r="D209" s="14" t="b">
        <v>0</v>
      </c>
      <c r="E209" s="14" t="b">
        <v>1</v>
      </c>
      <c r="F209" s="14" t="s">
        <v>18</v>
      </c>
      <c r="G209" s="14"/>
      <c r="H209" s="14" t="s">
        <v>1193</v>
      </c>
      <c r="I209" s="1" t="s">
        <v>1129</v>
      </c>
      <c r="J209" s="41" t="s">
        <v>20</v>
      </c>
      <c r="K209" s="144"/>
    </row>
    <row r="210" spans="1:11" hidden="1">
      <c r="A210" s="5" t="b">
        <v>1</v>
      </c>
      <c r="B210" s="6" t="s">
        <v>21</v>
      </c>
      <c r="C210" s="6"/>
      <c r="D210" s="6" t="b">
        <v>0</v>
      </c>
      <c r="E210" s="6" t="b">
        <v>1</v>
      </c>
      <c r="F210" s="1" t="s">
        <v>22</v>
      </c>
      <c r="G210" s="1" t="s">
        <v>60</v>
      </c>
      <c r="H210" s="23"/>
      <c r="I210" s="1"/>
      <c r="J210" s="1"/>
      <c r="K210" s="144"/>
    </row>
    <row r="211" spans="1:11" hidden="1">
      <c r="A211" s="5" t="b">
        <v>0</v>
      </c>
      <c r="B211" s="6" t="s">
        <v>24</v>
      </c>
      <c r="C211" s="6"/>
      <c r="D211" s="6" t="b">
        <v>0</v>
      </c>
      <c r="E211" s="6" t="b">
        <v>1</v>
      </c>
      <c r="F211" s="1" t="s">
        <v>25</v>
      </c>
      <c r="G211" s="1">
        <v>2</v>
      </c>
      <c r="H211" s="23"/>
      <c r="I211" s="1"/>
      <c r="J211" s="1"/>
      <c r="K211" s="144"/>
    </row>
    <row r="212" spans="1:11" hidden="1">
      <c r="A212" s="5" t="b">
        <v>0</v>
      </c>
      <c r="B212" s="6" t="s">
        <v>26</v>
      </c>
      <c r="C212" s="6"/>
      <c r="D212" s="6" t="b">
        <v>0</v>
      </c>
      <c r="E212" s="6" t="b">
        <v>1</v>
      </c>
      <c r="F212" s="1" t="s">
        <v>27</v>
      </c>
      <c r="G212" s="1"/>
      <c r="H212" s="23"/>
      <c r="I212" s="1"/>
      <c r="J212" s="1"/>
      <c r="K212" s="144"/>
    </row>
    <row r="213" spans="1:11" hidden="1">
      <c r="A213" s="5" t="b">
        <v>1</v>
      </c>
      <c r="B213" s="6" t="s">
        <v>28</v>
      </c>
      <c r="C213" s="6"/>
      <c r="D213" s="6" t="b">
        <v>0</v>
      </c>
      <c r="E213" s="6" t="b">
        <v>1</v>
      </c>
      <c r="F213" s="1" t="s">
        <v>29</v>
      </c>
      <c r="G213" s="1" t="s">
        <v>30</v>
      </c>
      <c r="H213" s="23"/>
      <c r="I213" s="1"/>
      <c r="J213" s="1"/>
      <c r="K213" s="144"/>
    </row>
    <row r="214" spans="1:11" hidden="1">
      <c r="A214" s="3"/>
      <c r="B214" s="4" t="s">
        <v>31</v>
      </c>
      <c r="C214" s="4"/>
      <c r="D214" s="4" t="b">
        <v>0</v>
      </c>
      <c r="E214" s="4" t="b">
        <v>1</v>
      </c>
      <c r="F214" s="7" t="s">
        <v>32</v>
      </c>
      <c r="G214" s="7"/>
      <c r="H214" s="7"/>
      <c r="I214" s="7"/>
      <c r="J214" s="7"/>
      <c r="K214" s="144"/>
    </row>
    <row r="215" spans="1:11" ht="28.5">
      <c r="A215" s="5" t="b">
        <v>0</v>
      </c>
      <c r="B215" s="6" t="s">
        <v>35</v>
      </c>
      <c r="C215" s="6"/>
      <c r="D215" s="6" t="b">
        <v>0</v>
      </c>
      <c r="E215" s="6" t="b">
        <v>1</v>
      </c>
      <c r="F215" s="25" t="s">
        <v>1194</v>
      </c>
      <c r="G215" s="40"/>
      <c r="H215" s="137" t="s">
        <v>1196</v>
      </c>
      <c r="I215" s="1" t="s">
        <v>1129</v>
      </c>
      <c r="J215" s="41" t="s">
        <v>20</v>
      </c>
      <c r="K215" s="145" t="s">
        <v>1197</v>
      </c>
    </row>
    <row r="216" spans="1:11" ht="42.5">
      <c r="A216" s="5" t="b">
        <v>0</v>
      </c>
      <c r="B216" s="6" t="s">
        <v>35</v>
      </c>
      <c r="C216" s="6"/>
      <c r="D216" s="6" t="b">
        <v>0</v>
      </c>
      <c r="E216" s="6" t="b">
        <v>1</v>
      </c>
      <c r="F216" s="1" t="s">
        <v>1198</v>
      </c>
      <c r="G216" s="40"/>
      <c r="H216" s="138" t="s">
        <v>1200</v>
      </c>
      <c r="I216" s="1" t="s">
        <v>1129</v>
      </c>
      <c r="J216" s="41" t="s">
        <v>20</v>
      </c>
      <c r="K216" s="146" t="s">
        <v>1201</v>
      </c>
    </row>
    <row r="217" spans="1:11">
      <c r="A217" s="5" t="b">
        <v>0</v>
      </c>
      <c r="B217" s="6" t="s">
        <v>35</v>
      </c>
      <c r="C217" s="6"/>
      <c r="D217" s="6" t="b">
        <v>0</v>
      </c>
      <c r="E217" s="6" t="b">
        <v>1</v>
      </c>
      <c r="F217" s="1" t="s">
        <v>1202</v>
      </c>
      <c r="G217" s="40"/>
      <c r="H217" s="138" t="s">
        <v>1204</v>
      </c>
      <c r="I217" s="1" t="s">
        <v>1129</v>
      </c>
      <c r="J217" s="41" t="s">
        <v>20</v>
      </c>
      <c r="K217" s="146" t="s">
        <v>1205</v>
      </c>
    </row>
    <row r="218" spans="1:11">
      <c r="A218" s="5" t="b">
        <v>0</v>
      </c>
      <c r="B218" s="6" t="s">
        <v>35</v>
      </c>
      <c r="C218" s="6"/>
      <c r="D218" s="6" t="b">
        <v>0</v>
      </c>
      <c r="E218" s="6" t="b">
        <v>1</v>
      </c>
      <c r="F218" s="1" t="s">
        <v>1206</v>
      </c>
      <c r="G218" s="40"/>
      <c r="H218" s="138" t="s">
        <v>1207</v>
      </c>
      <c r="I218" s="1" t="s">
        <v>1129</v>
      </c>
      <c r="J218" s="41" t="s">
        <v>20</v>
      </c>
      <c r="K218" s="146" t="s">
        <v>1208</v>
      </c>
    </row>
    <row r="219" spans="1:11" ht="70.5">
      <c r="A219" s="5" t="b">
        <v>0</v>
      </c>
      <c r="B219" s="6" t="s">
        <v>35</v>
      </c>
      <c r="C219" s="6"/>
      <c r="D219" s="6" t="b">
        <v>0</v>
      </c>
      <c r="E219" s="6" t="b">
        <v>1</v>
      </c>
      <c r="F219" s="1" t="s">
        <v>1209</v>
      </c>
      <c r="G219" s="40"/>
      <c r="H219" s="138" t="s">
        <v>1211</v>
      </c>
      <c r="I219" s="1" t="s">
        <v>1129</v>
      </c>
      <c r="J219" s="41" t="s">
        <v>20</v>
      </c>
      <c r="K219" s="146" t="s">
        <v>1212</v>
      </c>
    </row>
    <row r="220" spans="1:11" ht="28.5">
      <c r="A220" s="5" t="b">
        <v>0</v>
      </c>
      <c r="B220" s="6" t="s">
        <v>35</v>
      </c>
      <c r="C220" s="6"/>
      <c r="D220" s="6" t="b">
        <v>0</v>
      </c>
      <c r="E220" s="6" t="b">
        <v>1</v>
      </c>
      <c r="F220" s="1" t="s">
        <v>1213</v>
      </c>
      <c r="G220" s="40"/>
      <c r="H220" s="138" t="s">
        <v>1215</v>
      </c>
      <c r="I220" s="1" t="s">
        <v>1129</v>
      </c>
      <c r="J220" s="41" t="s">
        <v>20</v>
      </c>
      <c r="K220" s="146" t="s">
        <v>1216</v>
      </c>
    </row>
    <row r="221" spans="1:11">
      <c r="A221" s="5" t="b">
        <v>0</v>
      </c>
      <c r="B221" s="6" t="s">
        <v>35</v>
      </c>
      <c r="C221" s="6"/>
      <c r="D221" s="6" t="b">
        <v>0</v>
      </c>
      <c r="E221" s="6" t="b">
        <v>1</v>
      </c>
      <c r="F221" s="1" t="s">
        <v>1217</v>
      </c>
      <c r="G221" s="40"/>
      <c r="H221" s="138" t="s">
        <v>1219</v>
      </c>
      <c r="I221" s="1" t="s">
        <v>1129</v>
      </c>
      <c r="J221" s="41" t="s">
        <v>20</v>
      </c>
      <c r="K221" s="146" t="s">
        <v>1219</v>
      </c>
    </row>
    <row r="222" spans="1:11">
      <c r="A222" s="5"/>
      <c r="B222" s="6"/>
      <c r="C222" s="6"/>
      <c r="D222" s="6" t="b">
        <v>0</v>
      </c>
      <c r="E222" s="6" t="b">
        <v>1</v>
      </c>
      <c r="F222" s="89" t="s">
        <v>1220</v>
      </c>
      <c r="G222" s="40"/>
      <c r="H222" s="138" t="s">
        <v>1222</v>
      </c>
      <c r="I222" s="1" t="s">
        <v>1129</v>
      </c>
      <c r="J222" s="41"/>
      <c r="K222" s="146" t="s">
        <v>1223</v>
      </c>
    </row>
    <row r="223" spans="1:11">
      <c r="A223" s="5" t="b">
        <v>0</v>
      </c>
      <c r="B223" s="6" t="s">
        <v>35</v>
      </c>
      <c r="C223" s="6"/>
      <c r="D223" s="6" t="b">
        <v>0</v>
      </c>
      <c r="E223" s="6" t="b">
        <v>1</v>
      </c>
      <c r="F223" s="1" t="s">
        <v>1224</v>
      </c>
      <c r="G223" s="40"/>
      <c r="H223" s="138" t="s">
        <v>1226</v>
      </c>
      <c r="I223" s="1" t="s">
        <v>1129</v>
      </c>
      <c r="J223" s="41" t="s">
        <v>20</v>
      </c>
      <c r="K223" s="146" t="s">
        <v>1227</v>
      </c>
    </row>
    <row r="224" spans="1:11">
      <c r="A224" s="5" t="b">
        <v>0</v>
      </c>
      <c r="B224" s="6" t="s">
        <v>35</v>
      </c>
      <c r="C224" s="6"/>
      <c r="D224" s="6" t="b">
        <v>0</v>
      </c>
      <c r="E224" s="6" t="b">
        <v>1</v>
      </c>
      <c r="F224" s="1" t="s">
        <v>1228</v>
      </c>
      <c r="G224" s="40"/>
      <c r="H224" s="138" t="s">
        <v>1230</v>
      </c>
      <c r="I224" s="1" t="s">
        <v>1129</v>
      </c>
      <c r="J224" s="41" t="s">
        <v>20</v>
      </c>
      <c r="K224" s="146" t="s">
        <v>1231</v>
      </c>
    </row>
    <row r="225" spans="1:11">
      <c r="A225" s="5" t="b">
        <v>0</v>
      </c>
      <c r="B225" s="6" t="s">
        <v>35</v>
      </c>
      <c r="C225" s="6"/>
      <c r="D225" s="6" t="b">
        <v>0</v>
      </c>
      <c r="E225" s="6" t="b">
        <v>1</v>
      </c>
      <c r="F225" s="1" t="s">
        <v>1232</v>
      </c>
      <c r="G225" s="40"/>
      <c r="H225" s="138" t="s">
        <v>1234</v>
      </c>
      <c r="I225" s="1" t="s">
        <v>1129</v>
      </c>
      <c r="J225" s="41" t="s">
        <v>20</v>
      </c>
      <c r="K225" s="146" t="s">
        <v>1235</v>
      </c>
    </row>
    <row r="226" spans="1:11" ht="56.5">
      <c r="A226" s="5" t="b">
        <v>0</v>
      </c>
      <c r="B226" s="6" t="s">
        <v>35</v>
      </c>
      <c r="C226" s="6"/>
      <c r="D226" s="6" t="b">
        <v>0</v>
      </c>
      <c r="E226" s="6" t="b">
        <v>1</v>
      </c>
      <c r="F226" s="1" t="s">
        <v>1236</v>
      </c>
      <c r="G226" s="40"/>
      <c r="H226" s="138" t="s">
        <v>1238</v>
      </c>
      <c r="I226" s="1" t="s">
        <v>1129</v>
      </c>
      <c r="J226" s="41" t="s">
        <v>20</v>
      </c>
      <c r="K226" s="146" t="s">
        <v>1239</v>
      </c>
    </row>
    <row r="227" spans="1:11" ht="42.5">
      <c r="A227" s="5" t="b">
        <v>0</v>
      </c>
      <c r="B227" s="6" t="s">
        <v>35</v>
      </c>
      <c r="C227" s="6"/>
      <c r="D227" s="6" t="b">
        <v>0</v>
      </c>
      <c r="E227" s="6" t="b">
        <v>1</v>
      </c>
      <c r="F227" s="1" t="s">
        <v>1240</v>
      </c>
      <c r="G227" s="45"/>
      <c r="H227" s="139" t="s">
        <v>1242</v>
      </c>
      <c r="I227" s="1" t="s">
        <v>1129</v>
      </c>
      <c r="J227" s="41" t="s">
        <v>20</v>
      </c>
      <c r="K227" s="147" t="s">
        <v>1242</v>
      </c>
    </row>
    <row r="228" spans="1:11">
      <c r="A228" s="5" t="b">
        <v>0</v>
      </c>
      <c r="B228" s="6" t="s">
        <v>35</v>
      </c>
      <c r="C228" s="6"/>
      <c r="D228" s="6" t="b">
        <v>0</v>
      </c>
      <c r="E228" s="6" t="b">
        <v>1</v>
      </c>
      <c r="F228" s="1" t="s">
        <v>1243</v>
      </c>
      <c r="G228" s="46"/>
      <c r="H228" s="137" t="s">
        <v>1245</v>
      </c>
      <c r="I228" s="1" t="s">
        <v>1129</v>
      </c>
      <c r="J228" s="41" t="s">
        <v>20</v>
      </c>
      <c r="K228" s="146" t="s">
        <v>1246</v>
      </c>
    </row>
    <row r="229" spans="1:11" ht="112.5">
      <c r="A229" s="5" t="b">
        <v>0</v>
      </c>
      <c r="B229" s="6" t="s">
        <v>35</v>
      </c>
      <c r="C229" s="6"/>
      <c r="D229" s="6" t="b">
        <v>0</v>
      </c>
      <c r="E229" s="6" t="b">
        <v>1</v>
      </c>
      <c r="F229" s="1" t="s">
        <v>1247</v>
      </c>
      <c r="G229" s="40"/>
      <c r="H229" s="138" t="s">
        <v>1249</v>
      </c>
      <c r="I229" s="1" t="s">
        <v>1129</v>
      </c>
      <c r="J229" s="41" t="s">
        <v>20</v>
      </c>
      <c r="K229" s="146" t="s">
        <v>1250</v>
      </c>
    </row>
    <row r="230" spans="1:11" ht="140.5">
      <c r="A230" s="5" t="b">
        <v>0</v>
      </c>
      <c r="B230" s="6" t="s">
        <v>35</v>
      </c>
      <c r="C230" s="6"/>
      <c r="D230" s="6" t="b">
        <v>0</v>
      </c>
      <c r="E230" s="6" t="b">
        <v>1</v>
      </c>
      <c r="F230" s="1" t="s">
        <v>1251</v>
      </c>
      <c r="G230" s="46"/>
      <c r="H230" s="158" t="s">
        <v>1253</v>
      </c>
      <c r="I230" s="1" t="s">
        <v>1129</v>
      </c>
      <c r="J230" s="41" t="s">
        <v>20</v>
      </c>
      <c r="K230" s="146" t="s">
        <v>1253</v>
      </c>
    </row>
    <row r="231" spans="1:11" ht="42.5">
      <c r="A231" s="5" t="b">
        <v>0</v>
      </c>
      <c r="B231" s="6" t="s">
        <v>35</v>
      </c>
      <c r="C231" s="6"/>
      <c r="D231" s="6" t="b">
        <v>0</v>
      </c>
      <c r="E231" s="6" t="b">
        <v>1</v>
      </c>
      <c r="F231" s="1" t="s">
        <v>1254</v>
      </c>
      <c r="G231" s="40"/>
      <c r="H231" s="138" t="s">
        <v>1256</v>
      </c>
      <c r="I231" s="1" t="s">
        <v>1129</v>
      </c>
      <c r="J231" s="41" t="s">
        <v>20</v>
      </c>
      <c r="K231" s="146" t="s">
        <v>1257</v>
      </c>
    </row>
    <row r="232" spans="1:11">
      <c r="A232" s="5"/>
      <c r="B232" s="6"/>
      <c r="C232" s="6"/>
      <c r="D232" s="6"/>
      <c r="E232" s="6"/>
      <c r="F232" s="140" t="s">
        <v>1258</v>
      </c>
      <c r="G232" s="40"/>
      <c r="H232" s="142" t="s">
        <v>1222</v>
      </c>
      <c r="I232" s="1"/>
      <c r="J232" s="41"/>
      <c r="K232" s="146" t="s">
        <v>1222</v>
      </c>
    </row>
    <row r="233" spans="1:11" ht="42.5">
      <c r="A233" s="5"/>
      <c r="B233" s="6"/>
      <c r="C233" s="6"/>
      <c r="D233" s="6"/>
      <c r="E233" s="6"/>
      <c r="F233" s="141" t="s">
        <v>1259</v>
      </c>
      <c r="G233" s="40"/>
      <c r="H233" s="143" t="s">
        <v>1261</v>
      </c>
      <c r="I233" s="1"/>
      <c r="J233" s="41"/>
      <c r="K233" s="146" t="s">
        <v>1262</v>
      </c>
    </row>
    <row r="234" spans="1:11">
      <c r="A234" s="7"/>
      <c r="B234" s="7" t="s">
        <v>35</v>
      </c>
      <c r="C234" s="7"/>
      <c r="D234" s="7" t="b">
        <v>0</v>
      </c>
      <c r="E234" s="7" t="b">
        <v>1</v>
      </c>
      <c r="F234" s="7" t="s">
        <v>37</v>
      </c>
      <c r="G234" s="7"/>
      <c r="H234" s="4"/>
      <c r="I234" s="4"/>
      <c r="J234" s="4"/>
      <c r="K234" s="4"/>
    </row>
    <row r="235" spans="1:11" ht="29">
      <c r="A235" s="5" t="b">
        <v>0</v>
      </c>
      <c r="B235" s="6" t="s">
        <v>35</v>
      </c>
      <c r="C235" s="6"/>
      <c r="D235" s="6" t="b">
        <v>0</v>
      </c>
      <c r="E235" s="6" t="b">
        <v>1</v>
      </c>
      <c r="F235" s="1"/>
      <c r="G235" s="94"/>
      <c r="H235" s="35"/>
      <c r="I235" s="1" t="s">
        <v>1129</v>
      </c>
      <c r="J235" s="41" t="s">
        <v>20</v>
      </c>
      <c r="K235" s="82" t="s">
        <v>161</v>
      </c>
    </row>
    <row r="236" spans="1:11" ht="29">
      <c r="A236" s="8" t="s">
        <v>4</v>
      </c>
      <c r="B236" s="8" t="s">
        <v>5</v>
      </c>
      <c r="C236" s="8" t="s">
        <v>6</v>
      </c>
      <c r="D236" s="8" t="s">
        <v>113</v>
      </c>
      <c r="E236" s="8" t="s">
        <v>114</v>
      </c>
      <c r="F236" s="8" t="s">
        <v>9</v>
      </c>
      <c r="G236" s="8" t="s">
        <v>10</v>
      </c>
      <c r="H236" s="8" t="s">
        <v>11</v>
      </c>
      <c r="I236" s="8" t="s">
        <v>12</v>
      </c>
      <c r="J236" s="29" t="s">
        <v>13</v>
      </c>
      <c r="K236" s="29" t="s">
        <v>14</v>
      </c>
    </row>
    <row r="237" spans="1:11">
      <c r="A237" s="9"/>
      <c r="B237" s="10" t="s">
        <v>15</v>
      </c>
      <c r="C237" s="10"/>
      <c r="D237" s="10" t="b">
        <v>0</v>
      </c>
      <c r="E237" s="10" t="b">
        <v>1</v>
      </c>
      <c r="F237" s="11" t="s">
        <v>1191</v>
      </c>
      <c r="G237" s="11"/>
      <c r="H237" s="11"/>
      <c r="I237" s="11"/>
      <c r="J237" s="11"/>
      <c r="K237" s="11"/>
    </row>
    <row r="238" spans="1:11" ht="29">
      <c r="A238" s="20"/>
      <c r="B238" s="14" t="s">
        <v>17</v>
      </c>
      <c r="C238" s="14"/>
      <c r="D238" s="14" t="b">
        <v>0</v>
      </c>
      <c r="E238" s="14" t="b">
        <v>1</v>
      </c>
      <c r="F238" s="14" t="s">
        <v>18</v>
      </c>
      <c r="G238" s="14"/>
      <c r="H238" s="14" t="s">
        <v>1193</v>
      </c>
      <c r="I238" s="1" t="s">
        <v>1129</v>
      </c>
      <c r="J238" s="41" t="s">
        <v>20</v>
      </c>
      <c r="K238" s="144"/>
    </row>
    <row r="239" spans="1:11" hidden="1">
      <c r="A239" s="5" t="b">
        <v>1</v>
      </c>
      <c r="B239" s="6" t="s">
        <v>21</v>
      </c>
      <c r="C239" s="6"/>
      <c r="D239" s="6" t="b">
        <v>0</v>
      </c>
      <c r="E239" s="6" t="b">
        <v>1</v>
      </c>
      <c r="F239" s="1" t="s">
        <v>22</v>
      </c>
      <c r="G239" s="1" t="s">
        <v>60</v>
      </c>
      <c r="H239" s="23"/>
      <c r="I239" s="1"/>
      <c r="J239" s="1"/>
      <c r="K239" s="144"/>
    </row>
    <row r="240" spans="1:11" hidden="1">
      <c r="A240" s="5" t="b">
        <v>0</v>
      </c>
      <c r="B240" s="6" t="s">
        <v>24</v>
      </c>
      <c r="C240" s="6"/>
      <c r="D240" s="6" t="b">
        <v>0</v>
      </c>
      <c r="E240" s="6" t="b">
        <v>1</v>
      </c>
      <c r="F240" s="1" t="s">
        <v>25</v>
      </c>
      <c r="G240" s="1">
        <v>2</v>
      </c>
      <c r="H240" s="23"/>
      <c r="I240" s="1"/>
      <c r="J240" s="1"/>
      <c r="K240" s="144"/>
    </row>
    <row r="241" spans="1:11" hidden="1">
      <c r="A241" s="5" t="b">
        <v>0</v>
      </c>
      <c r="B241" s="6" t="s">
        <v>26</v>
      </c>
      <c r="C241" s="6"/>
      <c r="D241" s="6" t="b">
        <v>0</v>
      </c>
      <c r="E241" s="6" t="b">
        <v>1</v>
      </c>
      <c r="F241" s="1" t="s">
        <v>27</v>
      </c>
      <c r="G241" s="1"/>
      <c r="H241" s="23"/>
      <c r="I241" s="1"/>
      <c r="J241" s="1"/>
      <c r="K241" s="144"/>
    </row>
    <row r="242" spans="1:11" hidden="1">
      <c r="A242" s="5" t="b">
        <v>1</v>
      </c>
      <c r="B242" s="6" t="s">
        <v>28</v>
      </c>
      <c r="C242" s="6"/>
      <c r="D242" s="6" t="b">
        <v>0</v>
      </c>
      <c r="E242" s="6" t="b">
        <v>1</v>
      </c>
      <c r="F242" s="1" t="s">
        <v>29</v>
      </c>
      <c r="G242" s="1" t="s">
        <v>30</v>
      </c>
      <c r="H242" s="23"/>
      <c r="I242" s="1"/>
      <c r="J242" s="1"/>
      <c r="K242" s="144"/>
    </row>
    <row r="243" spans="1:11" hidden="1">
      <c r="A243" s="3"/>
      <c r="B243" s="4" t="s">
        <v>31</v>
      </c>
      <c r="C243" s="4"/>
      <c r="D243" s="4" t="b">
        <v>0</v>
      </c>
      <c r="E243" s="4" t="b">
        <v>1</v>
      </c>
      <c r="F243" s="7" t="s">
        <v>32</v>
      </c>
      <c r="G243" s="7"/>
      <c r="H243" s="7"/>
      <c r="I243" s="7"/>
      <c r="J243" s="7"/>
      <c r="K243" s="144"/>
    </row>
    <row r="244" spans="1:11" ht="28.5">
      <c r="A244" s="5" t="b">
        <v>0</v>
      </c>
      <c r="B244" s="6" t="s">
        <v>35</v>
      </c>
      <c r="C244" s="6"/>
      <c r="D244" s="6" t="b">
        <v>0</v>
      </c>
      <c r="E244" s="6" t="b">
        <v>1</v>
      </c>
      <c r="F244" s="25" t="s">
        <v>1194</v>
      </c>
      <c r="G244" s="40"/>
      <c r="H244" s="137" t="s">
        <v>1196</v>
      </c>
      <c r="I244" s="1" t="s">
        <v>1129</v>
      </c>
      <c r="J244" s="41" t="s">
        <v>20</v>
      </c>
      <c r="K244" s="145" t="s">
        <v>1197</v>
      </c>
    </row>
    <row r="245" spans="1:11" ht="42.5">
      <c r="A245" s="5" t="b">
        <v>0</v>
      </c>
      <c r="B245" s="6" t="s">
        <v>35</v>
      </c>
      <c r="C245" s="6"/>
      <c r="D245" s="6" t="b">
        <v>0</v>
      </c>
      <c r="E245" s="6" t="b">
        <v>1</v>
      </c>
      <c r="F245" s="1" t="s">
        <v>1198</v>
      </c>
      <c r="G245" s="40"/>
      <c r="H245" s="138" t="s">
        <v>1200</v>
      </c>
      <c r="I245" s="1" t="s">
        <v>1129</v>
      </c>
      <c r="J245" s="41" t="s">
        <v>20</v>
      </c>
      <c r="K245" s="146" t="s">
        <v>1201</v>
      </c>
    </row>
    <row r="246" spans="1:11">
      <c r="A246" s="5" t="b">
        <v>0</v>
      </c>
      <c r="B246" s="6" t="s">
        <v>35</v>
      </c>
      <c r="C246" s="6"/>
      <c r="D246" s="6" t="b">
        <v>0</v>
      </c>
      <c r="E246" s="6" t="b">
        <v>1</v>
      </c>
      <c r="F246" s="1" t="s">
        <v>1202</v>
      </c>
      <c r="G246" s="40"/>
      <c r="H246" s="138" t="s">
        <v>1204</v>
      </c>
      <c r="I246" s="1" t="s">
        <v>1129</v>
      </c>
      <c r="J246" s="41" t="s">
        <v>20</v>
      </c>
      <c r="K246" s="146" t="s">
        <v>1205</v>
      </c>
    </row>
    <row r="247" spans="1:11">
      <c r="A247" s="5" t="b">
        <v>0</v>
      </c>
      <c r="B247" s="6" t="s">
        <v>35</v>
      </c>
      <c r="C247" s="6"/>
      <c r="D247" s="6" t="b">
        <v>0</v>
      </c>
      <c r="E247" s="6" t="b">
        <v>1</v>
      </c>
      <c r="F247" s="1" t="s">
        <v>1206</v>
      </c>
      <c r="G247" s="40"/>
      <c r="H247" s="138" t="s">
        <v>1207</v>
      </c>
      <c r="I247" s="1" t="s">
        <v>1129</v>
      </c>
      <c r="J247" s="41" t="s">
        <v>20</v>
      </c>
      <c r="K247" s="146" t="s">
        <v>1208</v>
      </c>
    </row>
    <row r="248" spans="1:11" ht="70.5">
      <c r="A248" s="5" t="b">
        <v>0</v>
      </c>
      <c r="B248" s="6" t="s">
        <v>35</v>
      </c>
      <c r="C248" s="6"/>
      <c r="D248" s="6" t="b">
        <v>0</v>
      </c>
      <c r="E248" s="6" t="b">
        <v>1</v>
      </c>
      <c r="F248" s="1" t="s">
        <v>1209</v>
      </c>
      <c r="G248" s="40"/>
      <c r="H248" s="138" t="s">
        <v>1211</v>
      </c>
      <c r="I248" s="1" t="s">
        <v>1129</v>
      </c>
      <c r="J248" s="41" t="s">
        <v>20</v>
      </c>
      <c r="K248" s="146" t="s">
        <v>1212</v>
      </c>
    </row>
    <row r="249" spans="1:11" ht="28.5">
      <c r="A249" s="5" t="b">
        <v>0</v>
      </c>
      <c r="B249" s="6" t="s">
        <v>35</v>
      </c>
      <c r="C249" s="6"/>
      <c r="D249" s="6" t="b">
        <v>0</v>
      </c>
      <c r="E249" s="6" t="b">
        <v>1</v>
      </c>
      <c r="F249" s="1" t="s">
        <v>1213</v>
      </c>
      <c r="G249" s="40"/>
      <c r="H249" s="138" t="s">
        <v>1215</v>
      </c>
      <c r="I249" s="1" t="s">
        <v>1129</v>
      </c>
      <c r="J249" s="41" t="s">
        <v>20</v>
      </c>
      <c r="K249" s="146" t="s">
        <v>1216</v>
      </c>
    </row>
    <row r="250" spans="1:11">
      <c r="A250" s="5" t="b">
        <v>0</v>
      </c>
      <c r="B250" s="6" t="s">
        <v>35</v>
      </c>
      <c r="C250" s="6"/>
      <c r="D250" s="6" t="b">
        <v>0</v>
      </c>
      <c r="E250" s="6" t="b">
        <v>1</v>
      </c>
      <c r="F250" s="1" t="s">
        <v>1217</v>
      </c>
      <c r="G250" s="40"/>
      <c r="H250" s="138" t="s">
        <v>1219</v>
      </c>
      <c r="I250" s="1" t="s">
        <v>1129</v>
      </c>
      <c r="J250" s="41" t="s">
        <v>20</v>
      </c>
      <c r="K250" s="146" t="s">
        <v>1219</v>
      </c>
    </row>
    <row r="251" spans="1:11">
      <c r="A251" s="5"/>
      <c r="B251" s="6"/>
      <c r="C251" s="6"/>
      <c r="D251" s="6" t="b">
        <v>0</v>
      </c>
      <c r="E251" s="6" t="b">
        <v>1</v>
      </c>
      <c r="F251" s="89" t="s">
        <v>1220</v>
      </c>
      <c r="G251" s="40"/>
      <c r="H251" s="138" t="s">
        <v>1222</v>
      </c>
      <c r="I251" s="1" t="s">
        <v>1129</v>
      </c>
      <c r="J251" s="41" t="s">
        <v>20</v>
      </c>
      <c r="K251" s="146" t="s">
        <v>1223</v>
      </c>
    </row>
    <row r="252" spans="1:11">
      <c r="A252" s="5" t="b">
        <v>0</v>
      </c>
      <c r="B252" s="6" t="s">
        <v>35</v>
      </c>
      <c r="C252" s="6"/>
      <c r="D252" s="6" t="b">
        <v>0</v>
      </c>
      <c r="E252" s="6" t="b">
        <v>1</v>
      </c>
      <c r="F252" s="1" t="s">
        <v>1224</v>
      </c>
      <c r="G252" s="40"/>
      <c r="H252" s="138" t="s">
        <v>1226</v>
      </c>
      <c r="I252" s="1" t="s">
        <v>1129</v>
      </c>
      <c r="J252" s="41" t="s">
        <v>20</v>
      </c>
      <c r="K252" s="146" t="s">
        <v>1227</v>
      </c>
    </row>
    <row r="253" spans="1:11">
      <c r="A253" s="5" t="b">
        <v>0</v>
      </c>
      <c r="B253" s="6" t="s">
        <v>35</v>
      </c>
      <c r="C253" s="6"/>
      <c r="D253" s="6" t="b">
        <v>0</v>
      </c>
      <c r="E253" s="6" t="b">
        <v>1</v>
      </c>
      <c r="F253" s="1" t="s">
        <v>1228</v>
      </c>
      <c r="G253" s="40"/>
      <c r="H253" s="138" t="s">
        <v>1230</v>
      </c>
      <c r="I253" s="1" t="s">
        <v>1129</v>
      </c>
      <c r="J253" s="41" t="s">
        <v>20</v>
      </c>
      <c r="K253" s="146" t="s">
        <v>1231</v>
      </c>
    </row>
    <row r="254" spans="1:11">
      <c r="A254" s="5" t="b">
        <v>0</v>
      </c>
      <c r="B254" s="6" t="s">
        <v>35</v>
      </c>
      <c r="C254" s="6"/>
      <c r="D254" s="6" t="b">
        <v>0</v>
      </c>
      <c r="E254" s="6" t="b">
        <v>1</v>
      </c>
      <c r="F254" s="1" t="s">
        <v>1232</v>
      </c>
      <c r="G254" s="40"/>
      <c r="H254" s="138" t="s">
        <v>1234</v>
      </c>
      <c r="I254" s="1" t="s">
        <v>1129</v>
      </c>
      <c r="J254" s="41" t="s">
        <v>20</v>
      </c>
      <c r="K254" s="146" t="s">
        <v>1235</v>
      </c>
    </row>
    <row r="255" spans="1:11" ht="56.5">
      <c r="A255" s="5" t="b">
        <v>0</v>
      </c>
      <c r="B255" s="6" t="s">
        <v>35</v>
      </c>
      <c r="C255" s="6"/>
      <c r="D255" s="6" t="b">
        <v>0</v>
      </c>
      <c r="E255" s="6" t="b">
        <v>1</v>
      </c>
      <c r="F255" s="1" t="s">
        <v>1236</v>
      </c>
      <c r="G255" s="40"/>
      <c r="H255" s="138" t="s">
        <v>1238</v>
      </c>
      <c r="I255" s="1" t="s">
        <v>1129</v>
      </c>
      <c r="J255" s="41" t="s">
        <v>20</v>
      </c>
      <c r="K255" s="146" t="s">
        <v>1239</v>
      </c>
    </row>
    <row r="256" spans="1:11" ht="42.5">
      <c r="A256" s="5" t="b">
        <v>0</v>
      </c>
      <c r="B256" s="6" t="s">
        <v>35</v>
      </c>
      <c r="C256" s="6"/>
      <c r="D256" s="6" t="b">
        <v>0</v>
      </c>
      <c r="E256" s="6" t="b">
        <v>1</v>
      </c>
      <c r="F256" s="1" t="s">
        <v>1240</v>
      </c>
      <c r="G256" s="40"/>
      <c r="H256" s="139" t="s">
        <v>1242</v>
      </c>
      <c r="I256" s="1" t="s">
        <v>1129</v>
      </c>
      <c r="J256" s="41" t="s">
        <v>20</v>
      </c>
      <c r="K256" s="147" t="s">
        <v>1242</v>
      </c>
    </row>
    <row r="257" spans="1:11">
      <c r="A257" s="5" t="b">
        <v>0</v>
      </c>
      <c r="B257" s="6" t="s">
        <v>35</v>
      </c>
      <c r="C257" s="6"/>
      <c r="D257" s="6" t="b">
        <v>0</v>
      </c>
      <c r="E257" s="6" t="b">
        <v>1</v>
      </c>
      <c r="F257" s="1" t="s">
        <v>1243</v>
      </c>
      <c r="G257" s="45"/>
      <c r="H257" s="137" t="s">
        <v>1245</v>
      </c>
      <c r="I257" s="1" t="s">
        <v>1129</v>
      </c>
      <c r="J257" s="41" t="s">
        <v>20</v>
      </c>
      <c r="K257" s="146" t="s">
        <v>1246</v>
      </c>
    </row>
    <row r="258" spans="1:11" ht="112.5">
      <c r="A258" s="5" t="b">
        <v>0</v>
      </c>
      <c r="B258" s="6" t="s">
        <v>35</v>
      </c>
      <c r="C258" s="6"/>
      <c r="D258" s="6" t="b">
        <v>0</v>
      </c>
      <c r="E258" s="6" t="b">
        <v>1</v>
      </c>
      <c r="F258" s="1" t="s">
        <v>1247</v>
      </c>
      <c r="G258" s="40"/>
      <c r="H258" s="138" t="s">
        <v>1249</v>
      </c>
      <c r="I258" s="1" t="s">
        <v>1129</v>
      </c>
      <c r="J258" s="41" t="s">
        <v>20</v>
      </c>
      <c r="K258" s="146" t="s">
        <v>1250</v>
      </c>
    </row>
    <row r="259" spans="1:11" ht="140.5">
      <c r="A259" s="5" t="b">
        <v>0</v>
      </c>
      <c r="B259" s="6" t="s">
        <v>35</v>
      </c>
      <c r="C259" s="6"/>
      <c r="D259" s="6" t="b">
        <v>0</v>
      </c>
      <c r="E259" s="6" t="b">
        <v>1</v>
      </c>
      <c r="F259" s="1" t="s">
        <v>1251</v>
      </c>
      <c r="G259" s="46"/>
      <c r="H259" s="158" t="s">
        <v>1253</v>
      </c>
      <c r="I259" s="1" t="s">
        <v>1129</v>
      </c>
      <c r="J259" s="41" t="s">
        <v>20</v>
      </c>
      <c r="K259" s="146" t="s">
        <v>1253</v>
      </c>
    </row>
    <row r="260" spans="1:11" ht="42.5">
      <c r="A260" s="5" t="b">
        <v>0</v>
      </c>
      <c r="B260" s="6" t="s">
        <v>35</v>
      </c>
      <c r="C260" s="6"/>
      <c r="D260" s="6" t="b">
        <v>0</v>
      </c>
      <c r="E260" s="6" t="b">
        <v>1</v>
      </c>
      <c r="F260" s="1" t="s">
        <v>1254</v>
      </c>
      <c r="G260" s="40"/>
      <c r="H260" s="138" t="s">
        <v>1256</v>
      </c>
      <c r="I260" s="1" t="s">
        <v>1129</v>
      </c>
      <c r="J260" s="41" t="s">
        <v>20</v>
      </c>
      <c r="K260" s="146" t="s">
        <v>1257</v>
      </c>
    </row>
    <row r="261" spans="1:11">
      <c r="A261" s="5"/>
      <c r="B261" s="6"/>
      <c r="C261" s="6"/>
      <c r="D261" s="6"/>
      <c r="E261" s="6"/>
      <c r="F261" s="140" t="s">
        <v>1258</v>
      </c>
      <c r="G261" s="40"/>
      <c r="H261" s="142" t="s">
        <v>1222</v>
      </c>
      <c r="I261" s="1"/>
      <c r="J261" s="41"/>
      <c r="K261" s="146" t="s">
        <v>1222</v>
      </c>
    </row>
    <row r="262" spans="1:11" ht="42.5">
      <c r="A262" s="5"/>
      <c r="B262" s="6"/>
      <c r="C262" s="6"/>
      <c r="D262" s="6"/>
      <c r="E262" s="6"/>
      <c r="F262" s="141" t="s">
        <v>1259</v>
      </c>
      <c r="G262" s="40"/>
      <c r="H262" s="143" t="s">
        <v>1261</v>
      </c>
      <c r="I262" s="1"/>
      <c r="J262" s="41"/>
      <c r="K262" s="146" t="s">
        <v>1262</v>
      </c>
    </row>
    <row r="263" spans="1:11">
      <c r="A263" s="7"/>
      <c r="B263" s="7" t="s">
        <v>35</v>
      </c>
      <c r="C263" s="7"/>
      <c r="D263" s="7" t="b">
        <v>0</v>
      </c>
      <c r="E263" s="7" t="b">
        <v>1</v>
      </c>
      <c r="F263" s="7" t="s">
        <v>37</v>
      </c>
      <c r="G263" s="7"/>
      <c r="H263" s="4"/>
      <c r="I263" s="4"/>
      <c r="J263" s="4"/>
      <c r="K263" s="4"/>
    </row>
    <row r="264" spans="1:11" ht="29">
      <c r="A264" s="5" t="b">
        <v>0</v>
      </c>
      <c r="B264" s="6" t="s">
        <v>35</v>
      </c>
      <c r="C264" s="6"/>
      <c r="D264" s="6" t="b">
        <v>0</v>
      </c>
      <c r="E264" s="6" t="b">
        <v>1</v>
      </c>
      <c r="F264" s="1"/>
      <c r="G264" s="94"/>
      <c r="H264" s="35"/>
      <c r="I264" s="1" t="s">
        <v>1129</v>
      </c>
      <c r="J264" s="41" t="s">
        <v>20</v>
      </c>
      <c r="K264" s="82" t="s">
        <v>161</v>
      </c>
    </row>
    <row r="265" spans="1:11" ht="29">
      <c r="A265" s="8" t="s">
        <v>4</v>
      </c>
      <c r="B265" s="8" t="s">
        <v>5</v>
      </c>
      <c r="C265" s="8" t="s">
        <v>6</v>
      </c>
      <c r="D265" s="8" t="s">
        <v>113</v>
      </c>
      <c r="E265" s="8" t="s">
        <v>114</v>
      </c>
      <c r="F265" s="8" t="s">
        <v>9</v>
      </c>
      <c r="G265" s="8" t="s">
        <v>10</v>
      </c>
      <c r="H265" s="8" t="s">
        <v>11</v>
      </c>
      <c r="I265" s="8" t="s">
        <v>12</v>
      </c>
      <c r="J265" s="29" t="s">
        <v>13</v>
      </c>
      <c r="K265" s="29" t="s">
        <v>14</v>
      </c>
    </row>
    <row r="266" spans="1:11">
      <c r="A266" s="9"/>
      <c r="B266" s="10" t="s">
        <v>15</v>
      </c>
      <c r="C266" s="10"/>
      <c r="D266" s="10" t="b">
        <v>0</v>
      </c>
      <c r="E266" s="10" t="b">
        <v>1</v>
      </c>
      <c r="F266" s="11" t="s">
        <v>1191</v>
      </c>
      <c r="G266" s="11"/>
      <c r="H266" s="11"/>
      <c r="I266" s="11"/>
      <c r="J266" s="11"/>
      <c r="K266" s="11"/>
    </row>
    <row r="267" spans="1:11" ht="29">
      <c r="A267" s="20"/>
      <c r="B267" s="14" t="s">
        <v>17</v>
      </c>
      <c r="C267" s="14"/>
      <c r="D267" s="14" t="b">
        <v>0</v>
      </c>
      <c r="E267" s="14" t="b">
        <v>1</v>
      </c>
      <c r="F267" s="14" t="s">
        <v>18</v>
      </c>
      <c r="G267" s="14"/>
      <c r="H267" s="14" t="s">
        <v>1193</v>
      </c>
      <c r="I267" s="1" t="s">
        <v>1129</v>
      </c>
      <c r="J267" s="41" t="s">
        <v>20</v>
      </c>
      <c r="K267" s="144"/>
    </row>
    <row r="268" spans="1:11" hidden="1">
      <c r="A268" s="5" t="b">
        <v>1</v>
      </c>
      <c r="B268" s="6" t="s">
        <v>21</v>
      </c>
      <c r="C268" s="6"/>
      <c r="D268" s="6" t="b">
        <v>0</v>
      </c>
      <c r="E268" s="6" t="b">
        <v>1</v>
      </c>
      <c r="F268" s="1" t="s">
        <v>22</v>
      </c>
      <c r="G268" s="1" t="s">
        <v>60</v>
      </c>
      <c r="H268" s="23"/>
      <c r="I268" s="1"/>
      <c r="J268" s="1"/>
      <c r="K268" s="144"/>
    </row>
    <row r="269" spans="1:11" hidden="1">
      <c r="A269" s="5" t="b">
        <v>0</v>
      </c>
      <c r="B269" s="6" t="s">
        <v>24</v>
      </c>
      <c r="C269" s="6"/>
      <c r="D269" s="6" t="b">
        <v>0</v>
      </c>
      <c r="E269" s="6" t="b">
        <v>1</v>
      </c>
      <c r="F269" s="1" t="s">
        <v>25</v>
      </c>
      <c r="G269" s="1">
        <v>2</v>
      </c>
      <c r="H269" s="23"/>
      <c r="I269" s="1"/>
      <c r="J269" s="1"/>
      <c r="K269" s="144"/>
    </row>
    <row r="270" spans="1:11" hidden="1">
      <c r="A270" s="5" t="b">
        <v>0</v>
      </c>
      <c r="B270" s="6" t="s">
        <v>26</v>
      </c>
      <c r="C270" s="6"/>
      <c r="D270" s="6" t="b">
        <v>0</v>
      </c>
      <c r="E270" s="6" t="b">
        <v>1</v>
      </c>
      <c r="F270" s="1" t="s">
        <v>27</v>
      </c>
      <c r="G270" s="1"/>
      <c r="H270" s="23"/>
      <c r="I270" s="1"/>
      <c r="J270" s="1"/>
      <c r="K270" s="144"/>
    </row>
    <row r="271" spans="1:11" hidden="1">
      <c r="A271" s="5" t="b">
        <v>1</v>
      </c>
      <c r="B271" s="6" t="s">
        <v>28</v>
      </c>
      <c r="C271" s="6"/>
      <c r="D271" s="6" t="b">
        <v>0</v>
      </c>
      <c r="E271" s="6" t="b">
        <v>1</v>
      </c>
      <c r="F271" s="1" t="s">
        <v>29</v>
      </c>
      <c r="G271" s="1" t="s">
        <v>30</v>
      </c>
      <c r="H271" s="23"/>
      <c r="I271" s="1"/>
      <c r="J271" s="1"/>
      <c r="K271" s="144"/>
    </row>
    <row r="272" spans="1:11" hidden="1">
      <c r="A272" s="3"/>
      <c r="B272" s="4" t="s">
        <v>31</v>
      </c>
      <c r="C272" s="4"/>
      <c r="D272" s="4" t="b">
        <v>0</v>
      </c>
      <c r="E272" s="4" t="b">
        <v>1</v>
      </c>
      <c r="F272" s="7" t="s">
        <v>32</v>
      </c>
      <c r="G272" s="7"/>
      <c r="H272" s="7"/>
      <c r="I272" s="7"/>
      <c r="J272" s="7"/>
      <c r="K272" s="144"/>
    </row>
    <row r="273" spans="1:11" ht="28.5">
      <c r="A273" s="5" t="b">
        <v>0</v>
      </c>
      <c r="B273" s="6" t="s">
        <v>35</v>
      </c>
      <c r="C273" s="6"/>
      <c r="D273" s="6" t="b">
        <v>0</v>
      </c>
      <c r="E273" s="6" t="b">
        <v>1</v>
      </c>
      <c r="F273" s="25" t="s">
        <v>1194</v>
      </c>
      <c r="G273" s="40"/>
      <c r="H273" s="137" t="s">
        <v>1196</v>
      </c>
      <c r="I273" s="1" t="s">
        <v>1129</v>
      </c>
      <c r="J273" s="41" t="s">
        <v>20</v>
      </c>
      <c r="K273" s="145" t="s">
        <v>1197</v>
      </c>
    </row>
    <row r="274" spans="1:11" ht="42.5">
      <c r="A274" s="5" t="b">
        <v>0</v>
      </c>
      <c r="B274" s="6" t="s">
        <v>35</v>
      </c>
      <c r="C274" s="6"/>
      <c r="D274" s="6" t="b">
        <v>0</v>
      </c>
      <c r="E274" s="6" t="b">
        <v>1</v>
      </c>
      <c r="F274" s="1" t="s">
        <v>1198</v>
      </c>
      <c r="G274" s="40"/>
      <c r="H274" s="138" t="s">
        <v>1200</v>
      </c>
      <c r="I274" s="1" t="s">
        <v>1129</v>
      </c>
      <c r="J274" s="41" t="s">
        <v>20</v>
      </c>
      <c r="K274" s="146" t="s">
        <v>1201</v>
      </c>
    </row>
    <row r="275" spans="1:11">
      <c r="A275" s="5" t="b">
        <v>0</v>
      </c>
      <c r="B275" s="6" t="s">
        <v>35</v>
      </c>
      <c r="C275" s="6"/>
      <c r="D275" s="6" t="b">
        <v>0</v>
      </c>
      <c r="E275" s="6" t="b">
        <v>1</v>
      </c>
      <c r="F275" s="1" t="s">
        <v>1202</v>
      </c>
      <c r="G275" s="40"/>
      <c r="H275" s="138" t="s">
        <v>1204</v>
      </c>
      <c r="I275" s="1" t="s">
        <v>1129</v>
      </c>
      <c r="J275" s="41" t="s">
        <v>20</v>
      </c>
      <c r="K275" s="146" t="s">
        <v>1205</v>
      </c>
    </row>
    <row r="276" spans="1:11">
      <c r="A276" s="5" t="b">
        <v>0</v>
      </c>
      <c r="B276" s="6" t="s">
        <v>35</v>
      </c>
      <c r="C276" s="6"/>
      <c r="D276" s="6" t="b">
        <v>0</v>
      </c>
      <c r="E276" s="6" t="b">
        <v>1</v>
      </c>
      <c r="F276" s="1" t="s">
        <v>1206</v>
      </c>
      <c r="G276" s="40"/>
      <c r="H276" s="138" t="s">
        <v>1207</v>
      </c>
      <c r="I276" s="1" t="s">
        <v>1129</v>
      </c>
      <c r="J276" s="41" t="s">
        <v>20</v>
      </c>
      <c r="K276" s="146" t="s">
        <v>1208</v>
      </c>
    </row>
    <row r="277" spans="1:11" ht="70.5">
      <c r="A277" s="5" t="b">
        <v>0</v>
      </c>
      <c r="B277" s="6" t="s">
        <v>35</v>
      </c>
      <c r="C277" s="6"/>
      <c r="D277" s="6" t="b">
        <v>0</v>
      </c>
      <c r="E277" s="6" t="b">
        <v>1</v>
      </c>
      <c r="F277" s="1" t="s">
        <v>1209</v>
      </c>
      <c r="G277" s="40"/>
      <c r="H277" s="138" t="s">
        <v>1211</v>
      </c>
      <c r="I277" s="1" t="s">
        <v>1129</v>
      </c>
      <c r="J277" s="41" t="s">
        <v>20</v>
      </c>
      <c r="K277" s="146" t="s">
        <v>1212</v>
      </c>
    </row>
    <row r="278" spans="1:11" ht="28.5">
      <c r="A278" s="5" t="b">
        <v>0</v>
      </c>
      <c r="B278" s="6" t="s">
        <v>35</v>
      </c>
      <c r="C278" s="6"/>
      <c r="D278" s="6" t="b">
        <v>0</v>
      </c>
      <c r="E278" s="6" t="b">
        <v>1</v>
      </c>
      <c r="F278" s="1" t="s">
        <v>1213</v>
      </c>
      <c r="G278" s="40"/>
      <c r="H278" s="138" t="s">
        <v>1215</v>
      </c>
      <c r="I278" s="1" t="s">
        <v>1129</v>
      </c>
      <c r="J278" s="41" t="s">
        <v>20</v>
      </c>
      <c r="K278" s="146" t="s">
        <v>1216</v>
      </c>
    </row>
    <row r="279" spans="1:11">
      <c r="A279" s="5" t="b">
        <v>0</v>
      </c>
      <c r="B279" s="6" t="s">
        <v>35</v>
      </c>
      <c r="C279" s="6"/>
      <c r="D279" s="6" t="b">
        <v>0</v>
      </c>
      <c r="E279" s="6" t="b">
        <v>1</v>
      </c>
      <c r="F279" s="1" t="s">
        <v>1217</v>
      </c>
      <c r="G279" s="40"/>
      <c r="H279" s="138" t="s">
        <v>1219</v>
      </c>
      <c r="I279" s="1" t="s">
        <v>1129</v>
      </c>
      <c r="J279" s="41" t="s">
        <v>20</v>
      </c>
      <c r="K279" s="146" t="s">
        <v>1219</v>
      </c>
    </row>
    <row r="280" spans="1:11">
      <c r="A280" s="5"/>
      <c r="B280" s="6"/>
      <c r="C280" s="6"/>
      <c r="D280" s="6" t="b">
        <v>0</v>
      </c>
      <c r="E280" s="6" t="b">
        <v>1</v>
      </c>
      <c r="F280" s="89" t="s">
        <v>1220</v>
      </c>
      <c r="G280" s="40"/>
      <c r="H280" s="138" t="s">
        <v>1222</v>
      </c>
      <c r="I280" s="1" t="s">
        <v>1129</v>
      </c>
      <c r="J280" s="41" t="s">
        <v>20</v>
      </c>
      <c r="K280" s="146" t="s">
        <v>1223</v>
      </c>
    </row>
    <row r="281" spans="1:11">
      <c r="A281" s="5" t="b">
        <v>0</v>
      </c>
      <c r="B281" s="6" t="s">
        <v>35</v>
      </c>
      <c r="C281" s="6"/>
      <c r="D281" s="6" t="b">
        <v>0</v>
      </c>
      <c r="E281" s="6" t="b">
        <v>1</v>
      </c>
      <c r="F281" s="1" t="s">
        <v>1224</v>
      </c>
      <c r="G281" s="40"/>
      <c r="H281" s="138" t="s">
        <v>1226</v>
      </c>
      <c r="I281" s="1" t="s">
        <v>1129</v>
      </c>
      <c r="J281" s="41" t="s">
        <v>20</v>
      </c>
      <c r="K281" s="146" t="s">
        <v>1227</v>
      </c>
    </row>
    <row r="282" spans="1:11">
      <c r="A282" s="5" t="b">
        <v>0</v>
      </c>
      <c r="B282" s="6" t="s">
        <v>35</v>
      </c>
      <c r="C282" s="6"/>
      <c r="D282" s="6" t="b">
        <v>0</v>
      </c>
      <c r="E282" s="6" t="b">
        <v>1</v>
      </c>
      <c r="F282" s="1" t="s">
        <v>1228</v>
      </c>
      <c r="G282" s="40"/>
      <c r="H282" s="138" t="s">
        <v>1230</v>
      </c>
      <c r="I282" s="1" t="s">
        <v>1129</v>
      </c>
      <c r="J282" s="41" t="s">
        <v>20</v>
      </c>
      <c r="K282" s="146" t="s">
        <v>1231</v>
      </c>
    </row>
    <row r="283" spans="1:11">
      <c r="A283" s="5" t="b">
        <v>0</v>
      </c>
      <c r="B283" s="6" t="s">
        <v>35</v>
      </c>
      <c r="C283" s="6"/>
      <c r="D283" s="6" t="b">
        <v>0</v>
      </c>
      <c r="E283" s="6" t="b">
        <v>1</v>
      </c>
      <c r="F283" s="1" t="s">
        <v>1232</v>
      </c>
      <c r="G283" s="40"/>
      <c r="H283" s="138" t="s">
        <v>1234</v>
      </c>
      <c r="I283" s="1" t="s">
        <v>1129</v>
      </c>
      <c r="J283" s="41" t="s">
        <v>20</v>
      </c>
      <c r="K283" s="146" t="s">
        <v>1235</v>
      </c>
    </row>
    <row r="284" spans="1:11" ht="56.5">
      <c r="A284" s="5" t="b">
        <v>0</v>
      </c>
      <c r="B284" s="6" t="s">
        <v>35</v>
      </c>
      <c r="C284" s="6"/>
      <c r="D284" s="6" t="b">
        <v>0</v>
      </c>
      <c r="E284" s="6" t="b">
        <v>1</v>
      </c>
      <c r="F284" s="1" t="s">
        <v>1236</v>
      </c>
      <c r="G284" s="40"/>
      <c r="H284" s="138" t="s">
        <v>1238</v>
      </c>
      <c r="I284" s="1" t="s">
        <v>1129</v>
      </c>
      <c r="J284" s="41" t="s">
        <v>20</v>
      </c>
      <c r="K284" s="146" t="s">
        <v>1239</v>
      </c>
    </row>
    <row r="285" spans="1:11" ht="42.5">
      <c r="A285" s="5" t="b">
        <v>0</v>
      </c>
      <c r="B285" s="6" t="s">
        <v>35</v>
      </c>
      <c r="C285" s="6"/>
      <c r="D285" s="6" t="b">
        <v>0</v>
      </c>
      <c r="E285" s="6" t="b">
        <v>1</v>
      </c>
      <c r="F285" s="1" t="s">
        <v>1240</v>
      </c>
      <c r="G285" s="40"/>
      <c r="H285" s="139" t="s">
        <v>1242</v>
      </c>
      <c r="I285" s="1" t="s">
        <v>1129</v>
      </c>
      <c r="J285" s="41" t="s">
        <v>20</v>
      </c>
      <c r="K285" s="147" t="s">
        <v>1242</v>
      </c>
    </row>
    <row r="286" spans="1:11">
      <c r="A286" s="5" t="b">
        <v>0</v>
      </c>
      <c r="B286" s="6" t="s">
        <v>35</v>
      </c>
      <c r="C286" s="6"/>
      <c r="D286" s="6" t="b">
        <v>0</v>
      </c>
      <c r="E286" s="6" t="b">
        <v>1</v>
      </c>
      <c r="F286" s="1" t="s">
        <v>1243</v>
      </c>
      <c r="G286" s="45"/>
      <c r="H286" s="137" t="s">
        <v>1245</v>
      </c>
      <c r="I286" s="1" t="s">
        <v>1129</v>
      </c>
      <c r="J286" s="41" t="s">
        <v>20</v>
      </c>
      <c r="K286" s="146" t="s">
        <v>1246</v>
      </c>
    </row>
    <row r="287" spans="1:11" ht="112.5">
      <c r="A287" s="5" t="b">
        <v>0</v>
      </c>
      <c r="B287" s="6" t="s">
        <v>35</v>
      </c>
      <c r="C287" s="6"/>
      <c r="D287" s="6" t="b">
        <v>0</v>
      </c>
      <c r="E287" s="6" t="b">
        <v>1</v>
      </c>
      <c r="F287" s="1" t="s">
        <v>1247</v>
      </c>
      <c r="G287" s="40"/>
      <c r="H287" s="138" t="s">
        <v>1249</v>
      </c>
      <c r="I287" s="1" t="s">
        <v>1129</v>
      </c>
      <c r="J287" s="41" t="s">
        <v>20</v>
      </c>
      <c r="K287" s="146" t="s">
        <v>1250</v>
      </c>
    </row>
    <row r="288" spans="1:11" ht="140.5">
      <c r="A288" s="5" t="b">
        <v>0</v>
      </c>
      <c r="B288" s="6" t="s">
        <v>35</v>
      </c>
      <c r="C288" s="6"/>
      <c r="D288" s="6" t="b">
        <v>0</v>
      </c>
      <c r="E288" s="6" t="b">
        <v>1</v>
      </c>
      <c r="F288" s="1" t="s">
        <v>1251</v>
      </c>
      <c r="G288" s="46"/>
      <c r="H288" s="158" t="s">
        <v>1253</v>
      </c>
      <c r="I288" s="1" t="s">
        <v>1129</v>
      </c>
      <c r="J288" s="41" t="s">
        <v>20</v>
      </c>
      <c r="K288" s="146" t="s">
        <v>1253</v>
      </c>
    </row>
    <row r="289" spans="1:11" ht="42.5">
      <c r="A289" s="5" t="b">
        <v>0</v>
      </c>
      <c r="B289" s="6" t="s">
        <v>35</v>
      </c>
      <c r="C289" s="6"/>
      <c r="D289" s="6" t="b">
        <v>0</v>
      </c>
      <c r="E289" s="6" t="b">
        <v>1</v>
      </c>
      <c r="F289" s="1" t="s">
        <v>1254</v>
      </c>
      <c r="G289" s="40"/>
      <c r="H289" s="138" t="s">
        <v>1256</v>
      </c>
      <c r="I289" s="1" t="s">
        <v>1129</v>
      </c>
      <c r="J289" s="41" t="s">
        <v>20</v>
      </c>
      <c r="K289" s="146" t="s">
        <v>1257</v>
      </c>
    </row>
    <row r="290" spans="1:11">
      <c r="A290" s="5"/>
      <c r="B290" s="6"/>
      <c r="C290" s="6"/>
      <c r="D290" s="6"/>
      <c r="E290" s="6"/>
      <c r="F290" s="140" t="s">
        <v>1258</v>
      </c>
      <c r="G290" s="40"/>
      <c r="H290" s="142" t="s">
        <v>1222</v>
      </c>
      <c r="I290" s="1"/>
      <c r="J290" s="41"/>
      <c r="K290" s="146" t="s">
        <v>1222</v>
      </c>
    </row>
    <row r="291" spans="1:11" ht="42.5">
      <c r="A291" s="5"/>
      <c r="B291" s="6"/>
      <c r="C291" s="6"/>
      <c r="D291" s="6"/>
      <c r="E291" s="6"/>
      <c r="F291" s="141" t="s">
        <v>1259</v>
      </c>
      <c r="G291" s="40"/>
      <c r="H291" s="143" t="s">
        <v>1261</v>
      </c>
      <c r="I291" s="1"/>
      <c r="J291" s="41"/>
      <c r="K291" s="146" t="s">
        <v>1262</v>
      </c>
    </row>
    <row r="292" spans="1:11">
      <c r="A292" s="7"/>
      <c r="B292" s="7" t="s">
        <v>35</v>
      </c>
      <c r="C292" s="7"/>
      <c r="D292" s="7" t="b">
        <v>0</v>
      </c>
      <c r="E292" s="7" t="b">
        <v>1</v>
      </c>
      <c r="F292" s="7" t="s">
        <v>37</v>
      </c>
      <c r="G292" s="7"/>
      <c r="H292" s="4"/>
      <c r="I292" s="4"/>
      <c r="J292" s="4"/>
      <c r="K292" s="4"/>
    </row>
    <row r="293" spans="1:11" ht="29">
      <c r="A293" s="5" t="b">
        <v>0</v>
      </c>
      <c r="B293" s="6" t="s">
        <v>35</v>
      </c>
      <c r="C293" s="6"/>
      <c r="D293" s="6" t="b">
        <v>0</v>
      </c>
      <c r="E293" s="6" t="b">
        <v>1</v>
      </c>
      <c r="F293" s="1"/>
      <c r="G293" s="94"/>
      <c r="H293" s="35"/>
      <c r="I293" s="1" t="s">
        <v>1129</v>
      </c>
      <c r="J293" s="41" t="s">
        <v>20</v>
      </c>
      <c r="K293" s="82" t="s">
        <v>161</v>
      </c>
    </row>
    <row r="294" spans="1:11" ht="29">
      <c r="A294" s="8" t="s">
        <v>4</v>
      </c>
      <c r="B294" s="8" t="s">
        <v>5</v>
      </c>
      <c r="C294" s="8" t="s">
        <v>6</v>
      </c>
      <c r="D294" s="8" t="s">
        <v>113</v>
      </c>
      <c r="E294" s="8" t="s">
        <v>114</v>
      </c>
      <c r="F294" s="8" t="s">
        <v>9</v>
      </c>
      <c r="G294" s="8" t="s">
        <v>10</v>
      </c>
      <c r="H294" s="8" t="s">
        <v>11</v>
      </c>
      <c r="I294" s="8" t="s">
        <v>12</v>
      </c>
      <c r="J294" s="29" t="s">
        <v>13</v>
      </c>
      <c r="K294" s="29" t="s">
        <v>14</v>
      </c>
    </row>
    <row r="295" spans="1:11">
      <c r="A295" s="9"/>
      <c r="B295" s="10" t="s">
        <v>15</v>
      </c>
      <c r="C295" s="10"/>
      <c r="D295" s="10" t="b">
        <v>0</v>
      </c>
      <c r="E295" s="10" t="b">
        <v>1</v>
      </c>
      <c r="F295" s="11" t="s">
        <v>1191</v>
      </c>
      <c r="G295" s="11"/>
      <c r="H295" s="11"/>
      <c r="I295" s="11"/>
      <c r="J295" s="11"/>
      <c r="K295" s="11"/>
    </row>
    <row r="296" spans="1:11" ht="29">
      <c r="A296" s="20"/>
      <c r="B296" s="14" t="s">
        <v>17</v>
      </c>
      <c r="C296" s="14"/>
      <c r="D296" s="14" t="b">
        <v>0</v>
      </c>
      <c r="E296" s="14" t="b">
        <v>1</v>
      </c>
      <c r="F296" s="14" t="s">
        <v>18</v>
      </c>
      <c r="G296" s="14"/>
      <c r="H296" s="14" t="s">
        <v>1193</v>
      </c>
      <c r="I296" s="1" t="s">
        <v>1129</v>
      </c>
      <c r="J296" s="41" t="s">
        <v>20</v>
      </c>
      <c r="K296" s="144"/>
    </row>
    <row r="297" spans="1:11" hidden="1">
      <c r="A297" s="5" t="b">
        <v>1</v>
      </c>
      <c r="B297" s="6" t="s">
        <v>21</v>
      </c>
      <c r="C297" s="6"/>
      <c r="D297" s="6" t="b">
        <v>0</v>
      </c>
      <c r="E297" s="6" t="b">
        <v>1</v>
      </c>
      <c r="F297" s="1" t="s">
        <v>22</v>
      </c>
      <c r="G297" s="1" t="s">
        <v>60</v>
      </c>
      <c r="H297" s="23"/>
      <c r="I297" s="1"/>
      <c r="J297" s="1"/>
      <c r="K297" s="144"/>
    </row>
    <row r="298" spans="1:11" hidden="1">
      <c r="A298" s="5" t="b">
        <v>0</v>
      </c>
      <c r="B298" s="6" t="s">
        <v>24</v>
      </c>
      <c r="C298" s="6"/>
      <c r="D298" s="6" t="b">
        <v>0</v>
      </c>
      <c r="E298" s="6" t="b">
        <v>1</v>
      </c>
      <c r="F298" s="1" t="s">
        <v>25</v>
      </c>
      <c r="G298" s="1">
        <v>2</v>
      </c>
      <c r="H298" s="23"/>
      <c r="I298" s="1"/>
      <c r="J298" s="1"/>
      <c r="K298" s="144"/>
    </row>
    <row r="299" spans="1:11" hidden="1">
      <c r="A299" s="5" t="b">
        <v>0</v>
      </c>
      <c r="B299" s="6" t="s">
        <v>26</v>
      </c>
      <c r="C299" s="6"/>
      <c r="D299" s="6" t="b">
        <v>0</v>
      </c>
      <c r="E299" s="6" t="b">
        <v>1</v>
      </c>
      <c r="F299" s="1" t="s">
        <v>27</v>
      </c>
      <c r="G299" s="1"/>
      <c r="H299" s="23"/>
      <c r="I299" s="1"/>
      <c r="J299" s="1"/>
      <c r="K299" s="144"/>
    </row>
    <row r="300" spans="1:11" hidden="1">
      <c r="A300" s="5" t="b">
        <v>1</v>
      </c>
      <c r="B300" s="6" t="s">
        <v>28</v>
      </c>
      <c r="C300" s="6"/>
      <c r="D300" s="6" t="b">
        <v>0</v>
      </c>
      <c r="E300" s="6" t="b">
        <v>1</v>
      </c>
      <c r="F300" s="1" t="s">
        <v>29</v>
      </c>
      <c r="G300" s="1" t="s">
        <v>30</v>
      </c>
      <c r="H300" s="23"/>
      <c r="I300" s="1"/>
      <c r="J300" s="1"/>
      <c r="K300" s="144"/>
    </row>
    <row r="301" spans="1:11" hidden="1">
      <c r="A301" s="3"/>
      <c r="B301" s="4" t="s">
        <v>31</v>
      </c>
      <c r="C301" s="4"/>
      <c r="D301" s="4" t="b">
        <v>0</v>
      </c>
      <c r="E301" s="4" t="b">
        <v>1</v>
      </c>
      <c r="F301" s="7" t="s">
        <v>32</v>
      </c>
      <c r="G301" s="7"/>
      <c r="H301" s="7"/>
      <c r="I301" s="7"/>
      <c r="J301" s="7"/>
      <c r="K301" s="144"/>
    </row>
    <row r="302" spans="1:11" ht="28.5">
      <c r="A302" s="5" t="b">
        <v>0</v>
      </c>
      <c r="B302" s="6" t="s">
        <v>35</v>
      </c>
      <c r="C302" s="6"/>
      <c r="D302" s="6" t="b">
        <v>0</v>
      </c>
      <c r="E302" s="6" t="b">
        <v>1</v>
      </c>
      <c r="F302" s="25" t="s">
        <v>1194</v>
      </c>
      <c r="G302" s="40"/>
      <c r="H302" s="137" t="s">
        <v>1196</v>
      </c>
      <c r="I302" s="1" t="s">
        <v>1129</v>
      </c>
      <c r="J302" s="41" t="s">
        <v>20</v>
      </c>
      <c r="K302" s="145" t="s">
        <v>1197</v>
      </c>
    </row>
    <row r="303" spans="1:11" ht="42.5">
      <c r="A303" s="5" t="b">
        <v>0</v>
      </c>
      <c r="B303" s="6" t="s">
        <v>35</v>
      </c>
      <c r="C303" s="6"/>
      <c r="D303" s="6" t="b">
        <v>0</v>
      </c>
      <c r="E303" s="6" t="b">
        <v>1</v>
      </c>
      <c r="F303" s="1" t="s">
        <v>1198</v>
      </c>
      <c r="G303" s="40"/>
      <c r="H303" s="138" t="s">
        <v>1200</v>
      </c>
      <c r="I303" s="1" t="s">
        <v>1129</v>
      </c>
      <c r="J303" s="41" t="s">
        <v>20</v>
      </c>
      <c r="K303" s="146" t="s">
        <v>1201</v>
      </c>
    </row>
    <row r="304" spans="1:11">
      <c r="A304" s="5" t="b">
        <v>0</v>
      </c>
      <c r="B304" s="6" t="s">
        <v>35</v>
      </c>
      <c r="C304" s="6"/>
      <c r="D304" s="6" t="b">
        <v>0</v>
      </c>
      <c r="E304" s="6" t="b">
        <v>1</v>
      </c>
      <c r="F304" s="1" t="s">
        <v>1202</v>
      </c>
      <c r="G304" s="40"/>
      <c r="H304" s="138" t="s">
        <v>1204</v>
      </c>
      <c r="I304" s="1" t="s">
        <v>1129</v>
      </c>
      <c r="J304" s="41" t="s">
        <v>20</v>
      </c>
      <c r="K304" s="146" t="s">
        <v>1205</v>
      </c>
    </row>
    <row r="305" spans="1:11">
      <c r="A305" s="5" t="b">
        <v>0</v>
      </c>
      <c r="B305" s="6" t="s">
        <v>35</v>
      </c>
      <c r="C305" s="6"/>
      <c r="D305" s="6" t="b">
        <v>0</v>
      </c>
      <c r="E305" s="6" t="b">
        <v>1</v>
      </c>
      <c r="F305" s="1" t="s">
        <v>1206</v>
      </c>
      <c r="G305" s="40"/>
      <c r="H305" s="138" t="s">
        <v>1207</v>
      </c>
      <c r="I305" s="1" t="s">
        <v>1129</v>
      </c>
      <c r="J305" s="41" t="s">
        <v>20</v>
      </c>
      <c r="K305" s="146" t="s">
        <v>1208</v>
      </c>
    </row>
    <row r="306" spans="1:11" ht="70.5">
      <c r="A306" s="5" t="b">
        <v>0</v>
      </c>
      <c r="B306" s="6" t="s">
        <v>35</v>
      </c>
      <c r="C306" s="6"/>
      <c r="D306" s="6" t="b">
        <v>0</v>
      </c>
      <c r="E306" s="6" t="b">
        <v>1</v>
      </c>
      <c r="F306" s="1" t="s">
        <v>1209</v>
      </c>
      <c r="G306" s="40"/>
      <c r="H306" s="138" t="s">
        <v>1211</v>
      </c>
      <c r="I306" s="1" t="s">
        <v>1129</v>
      </c>
      <c r="J306" s="41" t="s">
        <v>20</v>
      </c>
      <c r="K306" s="146" t="s">
        <v>1212</v>
      </c>
    </row>
    <row r="307" spans="1:11" ht="28.5">
      <c r="A307" s="5" t="b">
        <v>0</v>
      </c>
      <c r="B307" s="6" t="s">
        <v>35</v>
      </c>
      <c r="C307" s="6"/>
      <c r="D307" s="6" t="b">
        <v>0</v>
      </c>
      <c r="E307" s="6" t="b">
        <v>1</v>
      </c>
      <c r="F307" s="1" t="s">
        <v>1213</v>
      </c>
      <c r="G307" s="40"/>
      <c r="H307" s="138" t="s">
        <v>1215</v>
      </c>
      <c r="I307" s="1" t="s">
        <v>1129</v>
      </c>
      <c r="J307" s="41" t="s">
        <v>20</v>
      </c>
      <c r="K307" s="146" t="s">
        <v>1216</v>
      </c>
    </row>
    <row r="308" spans="1:11">
      <c r="A308" s="5" t="b">
        <v>0</v>
      </c>
      <c r="B308" s="6" t="s">
        <v>35</v>
      </c>
      <c r="C308" s="6"/>
      <c r="D308" s="6" t="b">
        <v>0</v>
      </c>
      <c r="E308" s="6" t="b">
        <v>1</v>
      </c>
      <c r="F308" s="1" t="s">
        <v>1217</v>
      </c>
      <c r="G308" s="40"/>
      <c r="H308" s="138" t="s">
        <v>1219</v>
      </c>
      <c r="I308" s="1" t="s">
        <v>1129</v>
      </c>
      <c r="J308" s="41" t="s">
        <v>20</v>
      </c>
      <c r="K308" s="146" t="s">
        <v>1219</v>
      </c>
    </row>
    <row r="309" spans="1:11">
      <c r="A309" s="5"/>
      <c r="B309" s="6"/>
      <c r="C309" s="6"/>
      <c r="D309" s="6" t="b">
        <v>0</v>
      </c>
      <c r="E309" s="6" t="b">
        <v>1</v>
      </c>
      <c r="F309" s="89" t="s">
        <v>1220</v>
      </c>
      <c r="G309" s="40"/>
      <c r="H309" s="138" t="s">
        <v>1222</v>
      </c>
      <c r="I309" s="1" t="s">
        <v>1129</v>
      </c>
      <c r="J309" s="41"/>
      <c r="K309" s="146" t="s">
        <v>1223</v>
      </c>
    </row>
    <row r="310" spans="1:11">
      <c r="A310" s="5" t="b">
        <v>0</v>
      </c>
      <c r="B310" s="6" t="s">
        <v>35</v>
      </c>
      <c r="C310" s="6"/>
      <c r="D310" s="6" t="b">
        <v>0</v>
      </c>
      <c r="E310" s="6" t="b">
        <v>1</v>
      </c>
      <c r="F310" s="1" t="s">
        <v>1224</v>
      </c>
      <c r="G310" s="40"/>
      <c r="H310" s="138" t="s">
        <v>1226</v>
      </c>
      <c r="I310" s="1" t="s">
        <v>1129</v>
      </c>
      <c r="J310" s="41" t="s">
        <v>20</v>
      </c>
      <c r="K310" s="146" t="s">
        <v>1227</v>
      </c>
    </row>
    <row r="311" spans="1:11">
      <c r="A311" s="5" t="b">
        <v>0</v>
      </c>
      <c r="B311" s="6" t="s">
        <v>35</v>
      </c>
      <c r="C311" s="6"/>
      <c r="D311" s="6" t="b">
        <v>0</v>
      </c>
      <c r="E311" s="6" t="b">
        <v>1</v>
      </c>
      <c r="F311" s="1" t="s">
        <v>1228</v>
      </c>
      <c r="G311" s="40"/>
      <c r="H311" s="138" t="s">
        <v>1230</v>
      </c>
      <c r="I311" s="1" t="s">
        <v>1129</v>
      </c>
      <c r="J311" s="41" t="s">
        <v>20</v>
      </c>
      <c r="K311" s="146" t="s">
        <v>1231</v>
      </c>
    </row>
    <row r="312" spans="1:11">
      <c r="A312" s="5" t="b">
        <v>0</v>
      </c>
      <c r="B312" s="6" t="s">
        <v>35</v>
      </c>
      <c r="C312" s="6"/>
      <c r="D312" s="6" t="b">
        <v>0</v>
      </c>
      <c r="E312" s="6" t="b">
        <v>1</v>
      </c>
      <c r="F312" s="1" t="s">
        <v>1232</v>
      </c>
      <c r="G312" s="40"/>
      <c r="H312" s="138" t="s">
        <v>1234</v>
      </c>
      <c r="I312" s="1" t="s">
        <v>1129</v>
      </c>
      <c r="J312" s="41" t="s">
        <v>20</v>
      </c>
      <c r="K312" s="146" t="s">
        <v>1235</v>
      </c>
    </row>
    <row r="313" spans="1:11" ht="56.5">
      <c r="A313" s="5" t="b">
        <v>0</v>
      </c>
      <c r="B313" s="6" t="s">
        <v>35</v>
      </c>
      <c r="C313" s="6"/>
      <c r="D313" s="6" t="b">
        <v>0</v>
      </c>
      <c r="E313" s="6" t="b">
        <v>1</v>
      </c>
      <c r="F313" s="1" t="s">
        <v>1236</v>
      </c>
      <c r="G313" s="40"/>
      <c r="H313" s="138" t="s">
        <v>1238</v>
      </c>
      <c r="I313" s="1" t="s">
        <v>1129</v>
      </c>
      <c r="J313" s="41" t="s">
        <v>20</v>
      </c>
      <c r="K313" s="146" t="s">
        <v>1239</v>
      </c>
    </row>
    <row r="314" spans="1:11" ht="42.5">
      <c r="A314" s="5" t="b">
        <v>0</v>
      </c>
      <c r="B314" s="6" t="s">
        <v>35</v>
      </c>
      <c r="C314" s="6"/>
      <c r="D314" s="6" t="b">
        <v>0</v>
      </c>
      <c r="E314" s="6" t="b">
        <v>1</v>
      </c>
      <c r="F314" s="1" t="s">
        <v>1240</v>
      </c>
      <c r="G314" s="45"/>
      <c r="H314" s="139" t="s">
        <v>1242</v>
      </c>
      <c r="I314" s="1" t="s">
        <v>1129</v>
      </c>
      <c r="J314" s="41" t="s">
        <v>20</v>
      </c>
      <c r="K314" s="147" t="s">
        <v>1242</v>
      </c>
    </row>
    <row r="315" spans="1:11">
      <c r="A315" s="5" t="b">
        <v>0</v>
      </c>
      <c r="B315" s="6" t="s">
        <v>35</v>
      </c>
      <c r="C315" s="6"/>
      <c r="D315" s="6" t="b">
        <v>0</v>
      </c>
      <c r="E315" s="6" t="b">
        <v>1</v>
      </c>
      <c r="F315" s="1" t="s">
        <v>1243</v>
      </c>
      <c r="G315" s="46"/>
      <c r="H315" s="137" t="s">
        <v>1245</v>
      </c>
      <c r="I315" s="1" t="s">
        <v>1129</v>
      </c>
      <c r="J315" s="41" t="s">
        <v>20</v>
      </c>
      <c r="K315" s="146" t="s">
        <v>1246</v>
      </c>
    </row>
    <row r="316" spans="1:11" ht="112.5">
      <c r="A316" s="5" t="b">
        <v>0</v>
      </c>
      <c r="B316" s="6" t="s">
        <v>35</v>
      </c>
      <c r="C316" s="6"/>
      <c r="D316" s="6" t="b">
        <v>0</v>
      </c>
      <c r="E316" s="6" t="b">
        <v>1</v>
      </c>
      <c r="F316" s="1" t="s">
        <v>1247</v>
      </c>
      <c r="G316" s="40"/>
      <c r="H316" s="138" t="s">
        <v>1249</v>
      </c>
      <c r="I316" s="1" t="s">
        <v>1129</v>
      </c>
      <c r="J316" s="41" t="s">
        <v>20</v>
      </c>
      <c r="K316" s="146" t="s">
        <v>1250</v>
      </c>
    </row>
    <row r="317" spans="1:11" ht="140.5">
      <c r="A317" s="5" t="b">
        <v>0</v>
      </c>
      <c r="B317" s="6" t="s">
        <v>35</v>
      </c>
      <c r="C317" s="6"/>
      <c r="D317" s="6" t="b">
        <v>0</v>
      </c>
      <c r="E317" s="6" t="b">
        <v>1</v>
      </c>
      <c r="F317" s="1" t="s">
        <v>1251</v>
      </c>
      <c r="G317" s="46"/>
      <c r="H317" s="158" t="s">
        <v>1253</v>
      </c>
      <c r="I317" s="1" t="s">
        <v>1129</v>
      </c>
      <c r="J317" s="41" t="s">
        <v>20</v>
      </c>
      <c r="K317" s="146" t="s">
        <v>1253</v>
      </c>
    </row>
    <row r="318" spans="1:11" ht="42.5">
      <c r="A318" s="5" t="b">
        <v>0</v>
      </c>
      <c r="B318" s="6" t="s">
        <v>35</v>
      </c>
      <c r="C318" s="6"/>
      <c r="D318" s="6" t="b">
        <v>0</v>
      </c>
      <c r="E318" s="6" t="b">
        <v>1</v>
      </c>
      <c r="F318" s="1" t="s">
        <v>1254</v>
      </c>
      <c r="G318" s="40"/>
      <c r="H318" s="138" t="s">
        <v>1256</v>
      </c>
      <c r="I318" s="1" t="s">
        <v>1129</v>
      </c>
      <c r="J318" s="41" t="s">
        <v>20</v>
      </c>
      <c r="K318" s="146" t="s">
        <v>1257</v>
      </c>
    </row>
    <row r="319" spans="1:11">
      <c r="A319" s="5"/>
      <c r="B319" s="6"/>
      <c r="C319" s="6"/>
      <c r="D319" s="6"/>
      <c r="E319" s="6"/>
      <c r="F319" s="140" t="s">
        <v>1258</v>
      </c>
      <c r="G319" s="40"/>
      <c r="H319" s="142" t="s">
        <v>1222</v>
      </c>
      <c r="I319" s="1"/>
      <c r="J319" s="41"/>
      <c r="K319" s="146" t="s">
        <v>1222</v>
      </c>
    </row>
    <row r="320" spans="1:11" ht="42.5">
      <c r="A320" s="5"/>
      <c r="B320" s="6"/>
      <c r="C320" s="6"/>
      <c r="D320" s="6"/>
      <c r="E320" s="6"/>
      <c r="F320" s="141" t="s">
        <v>1259</v>
      </c>
      <c r="G320" s="40"/>
      <c r="H320" s="143" t="s">
        <v>1261</v>
      </c>
      <c r="I320" s="1"/>
      <c r="J320" s="41"/>
      <c r="K320" s="146" t="s">
        <v>1262</v>
      </c>
    </row>
    <row r="321" spans="1:11">
      <c r="A321" s="7"/>
      <c r="B321" s="7" t="s">
        <v>35</v>
      </c>
      <c r="C321" s="7"/>
      <c r="D321" s="7" t="b">
        <v>0</v>
      </c>
      <c r="E321" s="7" t="b">
        <v>1</v>
      </c>
      <c r="F321" s="7" t="s">
        <v>37</v>
      </c>
      <c r="G321" s="7"/>
      <c r="H321" s="4"/>
      <c r="I321" s="4"/>
      <c r="J321" s="4"/>
      <c r="K321" s="4"/>
    </row>
    <row r="322" spans="1:11" ht="29">
      <c r="A322" s="5" t="b">
        <v>0</v>
      </c>
      <c r="B322" s="6" t="s">
        <v>35</v>
      </c>
      <c r="C322" s="6"/>
      <c r="D322" s="6" t="b">
        <v>0</v>
      </c>
      <c r="E322" s="6" t="b">
        <v>1</v>
      </c>
      <c r="F322" s="1"/>
      <c r="G322" s="94"/>
      <c r="H322" s="35"/>
      <c r="I322" s="1" t="s">
        <v>1129</v>
      </c>
      <c r="J322" s="41" t="s">
        <v>20</v>
      </c>
      <c r="K322" s="82" t="s">
        <v>161</v>
      </c>
    </row>
    <row r="324" spans="1:11" ht="15" thickBot="1">
      <c r="F324" s="49"/>
    </row>
    <row r="325" spans="1:11">
      <c r="F325" s="49"/>
    </row>
  </sheetData>
  <mergeCells count="2">
    <mergeCell ref="G1:H1"/>
    <mergeCell ref="G2:H2"/>
  </mergeCells>
  <phoneticPr fontId="8" type="noConversion"/>
  <conditionalFormatting sqref="J148">
    <cfRule type="cellIs" dxfId="100" priority="38" operator="equal">
      <formula>"Y"</formula>
    </cfRule>
  </conditionalFormatting>
  <conditionalFormatting sqref="J177">
    <cfRule type="cellIs" dxfId="99" priority="36" operator="equal">
      <formula>"Y"</formula>
    </cfRule>
  </conditionalFormatting>
  <conditionalFormatting sqref="J206">
    <cfRule type="cellIs" dxfId="98" priority="35" operator="equal">
      <formula>"Y"</formula>
    </cfRule>
  </conditionalFormatting>
  <conditionalFormatting sqref="J180">
    <cfRule type="cellIs" dxfId="97" priority="34" operator="equal">
      <formula>"Y"</formula>
    </cfRule>
  </conditionalFormatting>
  <conditionalFormatting sqref="J215:J233">
    <cfRule type="cellIs" dxfId="96" priority="33" operator="equal">
      <formula>"Y"</formula>
    </cfRule>
  </conditionalFormatting>
  <conditionalFormatting sqref="J235">
    <cfRule type="cellIs" dxfId="95" priority="32" operator="equal">
      <formula>"Y"</formula>
    </cfRule>
  </conditionalFormatting>
  <conditionalFormatting sqref="J209">
    <cfRule type="cellIs" dxfId="94" priority="31" operator="equal">
      <formula>"Y"</formula>
    </cfRule>
  </conditionalFormatting>
  <conditionalFormatting sqref="J151">
    <cfRule type="cellIs" dxfId="93" priority="29" operator="equal">
      <formula>"Y"</formula>
    </cfRule>
  </conditionalFormatting>
  <conditionalFormatting sqref="J190">
    <cfRule type="cellIs" dxfId="92" priority="26" operator="equal">
      <formula>"Y"</formula>
    </cfRule>
  </conditionalFormatting>
  <conditionalFormatting sqref="J157:J160 J162:J175">
    <cfRule type="cellIs" dxfId="91" priority="30" operator="equal">
      <formula>"Y"</formula>
    </cfRule>
  </conditionalFormatting>
  <conditionalFormatting sqref="J161">
    <cfRule type="cellIs" dxfId="90" priority="28" operator="equal">
      <formula>"Y"</formula>
    </cfRule>
  </conditionalFormatting>
  <conditionalFormatting sqref="J186:J189 J191:J204">
    <cfRule type="cellIs" dxfId="89" priority="27" operator="equal">
      <formula>"Y"</formula>
    </cfRule>
  </conditionalFormatting>
  <conditionalFormatting sqref="J264">
    <cfRule type="cellIs" dxfId="88" priority="25" operator="equal">
      <formula>"Y"</formula>
    </cfRule>
  </conditionalFormatting>
  <conditionalFormatting sqref="J293">
    <cfRule type="cellIs" dxfId="87" priority="24" operator="equal">
      <formula>"Y"</formula>
    </cfRule>
  </conditionalFormatting>
  <conditionalFormatting sqref="J267">
    <cfRule type="cellIs" dxfId="86" priority="23" operator="equal">
      <formula>"Y"</formula>
    </cfRule>
  </conditionalFormatting>
  <conditionalFormatting sqref="J302:J320">
    <cfRule type="cellIs" dxfId="85" priority="22" operator="equal">
      <formula>"Y"</formula>
    </cfRule>
  </conditionalFormatting>
  <conditionalFormatting sqref="J322">
    <cfRule type="cellIs" dxfId="84" priority="21" operator="equal">
      <formula>"Y"</formula>
    </cfRule>
  </conditionalFormatting>
  <conditionalFormatting sqref="J296">
    <cfRule type="cellIs" dxfId="83" priority="20" operator="equal">
      <formula>"Y"</formula>
    </cfRule>
  </conditionalFormatting>
  <conditionalFormatting sqref="J238">
    <cfRule type="cellIs" dxfId="82" priority="18" operator="equal">
      <formula>"Y"</formula>
    </cfRule>
  </conditionalFormatting>
  <conditionalFormatting sqref="J244:J262">
    <cfRule type="cellIs" dxfId="81" priority="19" operator="equal">
      <formula>"Y"</formula>
    </cfRule>
  </conditionalFormatting>
  <conditionalFormatting sqref="J273:J291">
    <cfRule type="cellIs" dxfId="80" priority="16" operator="equal">
      <formula>"Y"</formula>
    </cfRule>
  </conditionalFormatting>
  <conditionalFormatting sqref="J12:J30">
    <cfRule type="cellIs" dxfId="79" priority="14" operator="equal">
      <formula>"Y"</formula>
    </cfRule>
  </conditionalFormatting>
  <conditionalFormatting sqref="J32">
    <cfRule type="cellIs" dxfId="78" priority="13" operator="equal">
      <formula>"Y"</formula>
    </cfRule>
  </conditionalFormatting>
  <conditionalFormatting sqref="J6:J30">
    <cfRule type="cellIs" dxfId="77" priority="12" operator="equal">
      <formula>"Y"</formula>
    </cfRule>
  </conditionalFormatting>
  <conditionalFormatting sqref="J61">
    <cfRule type="cellIs" dxfId="76" priority="11" operator="equal">
      <formula>"Y"</formula>
    </cfRule>
  </conditionalFormatting>
  <conditionalFormatting sqref="J90">
    <cfRule type="cellIs" dxfId="75" priority="10" operator="equal">
      <formula>"Y"</formula>
    </cfRule>
  </conditionalFormatting>
  <conditionalFormatting sqref="J119">
    <cfRule type="cellIs" dxfId="74" priority="9" operator="equal">
      <formula>"Y"</formula>
    </cfRule>
  </conditionalFormatting>
  <conditionalFormatting sqref="J41:J59">
    <cfRule type="cellIs" dxfId="73" priority="8" operator="equal">
      <formula>"Y"</formula>
    </cfRule>
  </conditionalFormatting>
  <conditionalFormatting sqref="J35:J59">
    <cfRule type="cellIs" dxfId="72" priority="7" operator="equal">
      <formula>"Y"</formula>
    </cfRule>
  </conditionalFormatting>
  <conditionalFormatting sqref="J70:J88">
    <cfRule type="cellIs" dxfId="71" priority="6" operator="equal">
      <formula>"Y"</formula>
    </cfRule>
  </conditionalFormatting>
  <conditionalFormatting sqref="J64:J88">
    <cfRule type="cellIs" dxfId="70" priority="5" operator="equal">
      <formula>"Y"</formula>
    </cfRule>
  </conditionalFormatting>
  <conditionalFormatting sqref="J99:J117">
    <cfRule type="cellIs" dxfId="69" priority="4" operator="equal">
      <formula>"Y"</formula>
    </cfRule>
  </conditionalFormatting>
  <conditionalFormatting sqref="J93:J117">
    <cfRule type="cellIs" dxfId="68" priority="3" operator="equal">
      <formula>"Y"</formula>
    </cfRule>
  </conditionalFormatting>
  <conditionalFormatting sqref="J128:J146">
    <cfRule type="cellIs" dxfId="67" priority="2" operator="equal">
      <formula>"Y"</formula>
    </cfRule>
  </conditionalFormatting>
  <conditionalFormatting sqref="J122:J146">
    <cfRule type="cellIs" dxfId="66" priority="1" operator="equal">
      <formula>"Y"</formula>
    </cfRule>
  </conditionalFormatting>
  <dataValidations count="3">
    <dataValidation type="list" allowBlank="1" showInputMessage="1" showErrorMessage="1" sqref="G181 G152 G297 G268 G239 G210 G7 G94 G65 G36 G123" xr:uid="{00000000-0002-0000-0A00-000000000000}">
      <formula1>TableTypeNames</formula1>
    </dataValidation>
    <dataValidation type="list" allowBlank="1" showInputMessage="1" showErrorMessage="1" sqref="G184 G155 G300 G271 G242 G213 G10 G97 G68 G39 G126" xr:uid="{00000000-0002-0000-0A00-000001000000}">
      <formula1>"None,Numbered,Bullets"</formula1>
    </dataValidation>
    <dataValidation type="list" allowBlank="1" showInputMessage="1" showErrorMessage="1" sqref="C2:E2 G2" xr:uid="{00000000-0002-0000-0A00-000002000000}">
      <formula1>SectionNames</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1"/>
  </sheetPr>
  <dimension ref="A1:K179"/>
  <sheetViews>
    <sheetView topLeftCell="F158" zoomScale="110" zoomScaleNormal="110" workbookViewId="0">
      <selection activeCell="K178" sqref="K178"/>
    </sheetView>
  </sheetViews>
  <sheetFormatPr defaultRowHeight="14.5"/>
  <cols>
    <col min="1" max="1" width="18.54296875" hidden="1" customWidth="1"/>
    <col min="2" max="2" width="21.453125" hidden="1" customWidth="1"/>
    <col min="3" max="3" width="18.54296875" hidden="1" customWidth="1"/>
    <col min="4" max="5" width="12.453125" hidden="1" customWidth="1"/>
    <col min="6" max="6" width="21" customWidth="1"/>
    <col min="7" max="7" width="64.54296875" customWidth="1"/>
    <col min="8" max="8" width="29.453125" customWidth="1"/>
    <col min="9" max="9" width="21" customWidth="1"/>
    <col min="10" max="10" width="12.453125" customWidth="1"/>
    <col min="11" max="11" width="24.81640625" customWidth="1"/>
  </cols>
  <sheetData>
    <row r="1" spans="1:11">
      <c r="C1" s="18"/>
      <c r="D1" s="18"/>
      <c r="E1" s="18"/>
      <c r="F1" s="8" t="s">
        <v>1</v>
      </c>
      <c r="G1" s="454" t="str">
        <f>IF(Metadata!B1="","No series name entered",Metadata!B1)</f>
        <v>HP EliteBook 865 164 inch G10 Notebook PC</v>
      </c>
      <c r="H1" s="454"/>
    </row>
    <row r="2" spans="1:11">
      <c r="F2" s="12" t="s">
        <v>2</v>
      </c>
      <c r="G2" s="272" t="s">
        <v>3</v>
      </c>
      <c r="H2" s="272"/>
    </row>
    <row r="3" spans="1:11">
      <c r="F3" s="12" t="s">
        <v>43</v>
      </c>
      <c r="G3" s="1" t="str">
        <f>Metadata!B2</f>
        <v>Lox16</v>
      </c>
    </row>
    <row r="4" spans="1:11" ht="29">
      <c r="A4" s="8" t="s">
        <v>4</v>
      </c>
      <c r="B4" s="8" t="s">
        <v>5</v>
      </c>
      <c r="C4" s="8" t="s">
        <v>6</v>
      </c>
      <c r="D4" s="8" t="s">
        <v>113</v>
      </c>
      <c r="E4" s="8" t="s">
        <v>114</v>
      </c>
      <c r="F4" s="8" t="s">
        <v>9</v>
      </c>
      <c r="G4" s="8" t="s">
        <v>10</v>
      </c>
      <c r="H4" s="8" t="s">
        <v>11</v>
      </c>
      <c r="I4" s="8" t="s">
        <v>12</v>
      </c>
      <c r="J4" s="29" t="s">
        <v>13</v>
      </c>
      <c r="K4" s="29" t="s">
        <v>14</v>
      </c>
    </row>
    <row r="5" spans="1:11">
      <c r="A5" s="9"/>
      <c r="B5" s="10" t="s">
        <v>15</v>
      </c>
      <c r="C5" s="10"/>
      <c r="D5" s="10" t="b">
        <v>0</v>
      </c>
      <c r="E5" s="10" t="b">
        <v>1</v>
      </c>
      <c r="F5" s="11" t="s">
        <v>1300</v>
      </c>
      <c r="G5" s="11"/>
      <c r="H5" s="11"/>
      <c r="I5" s="11"/>
      <c r="J5" s="11"/>
      <c r="K5" s="11"/>
    </row>
    <row r="6" spans="1:11" ht="29">
      <c r="A6" s="20"/>
      <c r="B6" s="14" t="s">
        <v>17</v>
      </c>
      <c r="C6" s="14"/>
      <c r="D6" s="14" t="b">
        <v>0</v>
      </c>
      <c r="E6" s="14" t="b">
        <v>1</v>
      </c>
      <c r="F6" s="14" t="s">
        <v>18</v>
      </c>
      <c r="G6" s="14" t="s">
        <v>1301</v>
      </c>
      <c r="H6" s="14" t="s">
        <v>1302</v>
      </c>
      <c r="I6" s="14"/>
      <c r="J6" s="41" t="s">
        <v>127</v>
      </c>
      <c r="K6" s="31"/>
    </row>
    <row r="7" spans="1:11" hidden="1">
      <c r="A7" s="5" t="b">
        <v>1</v>
      </c>
      <c r="B7" s="6" t="s">
        <v>21</v>
      </c>
      <c r="C7" s="6"/>
      <c r="D7" s="6" t="b">
        <v>0</v>
      </c>
      <c r="E7" s="6" t="b">
        <v>1</v>
      </c>
      <c r="F7" s="1" t="s">
        <v>22</v>
      </c>
      <c r="G7" s="1"/>
      <c r="H7" s="1" t="s">
        <v>60</v>
      </c>
      <c r="I7" s="1"/>
      <c r="J7" s="1"/>
      <c r="K7" s="31"/>
    </row>
    <row r="8" spans="1:11" hidden="1">
      <c r="A8" s="5" t="b">
        <v>0</v>
      </c>
      <c r="B8" s="6" t="s">
        <v>24</v>
      </c>
      <c r="C8" s="6"/>
      <c r="D8" s="6" t="b">
        <v>0</v>
      </c>
      <c r="E8" s="6" t="b">
        <v>1</v>
      </c>
      <c r="F8" s="1" t="s">
        <v>25</v>
      </c>
      <c r="G8" s="1"/>
      <c r="H8" s="1">
        <v>2</v>
      </c>
      <c r="I8" s="1"/>
      <c r="J8" s="1"/>
      <c r="K8" s="31"/>
    </row>
    <row r="9" spans="1:11" hidden="1">
      <c r="A9" s="5" t="b">
        <v>0</v>
      </c>
      <c r="B9" s="6" t="s">
        <v>26</v>
      </c>
      <c r="C9" s="6"/>
      <c r="D9" s="6" t="b">
        <v>0</v>
      </c>
      <c r="E9" s="6" t="b">
        <v>1</v>
      </c>
      <c r="F9" s="1" t="s">
        <v>27</v>
      </c>
      <c r="G9" s="1"/>
      <c r="H9" s="1"/>
      <c r="I9" s="1"/>
      <c r="J9" s="1"/>
      <c r="K9" s="31"/>
    </row>
    <row r="10" spans="1:11" hidden="1">
      <c r="A10" s="5" t="b">
        <v>1</v>
      </c>
      <c r="B10" s="6" t="s">
        <v>28</v>
      </c>
      <c r="C10" s="6"/>
      <c r="D10" s="6" t="b">
        <v>0</v>
      </c>
      <c r="E10" s="6" t="b">
        <v>1</v>
      </c>
      <c r="F10" s="1" t="s">
        <v>29</v>
      </c>
      <c r="G10" s="1"/>
      <c r="H10" s="1" t="s">
        <v>30</v>
      </c>
      <c r="I10" s="1"/>
      <c r="J10" s="1"/>
      <c r="K10" s="31"/>
    </row>
    <row r="11" spans="1:11" hidden="1">
      <c r="A11" s="3"/>
      <c r="B11" s="4" t="s">
        <v>31</v>
      </c>
      <c r="C11" s="4"/>
      <c r="D11" s="4" t="b">
        <v>0</v>
      </c>
      <c r="E11" s="4" t="b">
        <v>1</v>
      </c>
      <c r="F11" s="7" t="s">
        <v>32</v>
      </c>
      <c r="G11" s="7"/>
      <c r="H11" s="7"/>
      <c r="I11" s="7"/>
      <c r="J11" s="7"/>
      <c r="K11" s="7"/>
    </row>
    <row r="12" spans="1:11">
      <c r="A12" s="5" t="b">
        <v>1</v>
      </c>
      <c r="B12" s="6" t="s">
        <v>33</v>
      </c>
      <c r="C12" s="6"/>
      <c r="D12" s="6" t="b">
        <v>0</v>
      </c>
      <c r="E12" s="6" t="b">
        <v>1</v>
      </c>
      <c r="F12" s="1" t="s">
        <v>1303</v>
      </c>
      <c r="G12" s="248" t="s">
        <v>1304</v>
      </c>
      <c r="H12" s="31" t="s">
        <v>1305</v>
      </c>
      <c r="I12" s="1" t="s">
        <v>1129</v>
      </c>
      <c r="J12" s="41" t="s">
        <v>127</v>
      </c>
      <c r="K12" s="31"/>
    </row>
    <row r="13" spans="1:11">
      <c r="A13" s="5" t="b">
        <v>0</v>
      </c>
      <c r="B13" s="6" t="s">
        <v>35</v>
      </c>
      <c r="C13" s="6"/>
      <c r="D13" s="6" t="b">
        <v>0</v>
      </c>
      <c r="E13" s="6" t="b">
        <v>1</v>
      </c>
      <c r="F13" s="1" t="s">
        <v>1306</v>
      </c>
      <c r="G13" s="249" t="s">
        <v>1307</v>
      </c>
      <c r="H13" s="31" t="s">
        <v>1308</v>
      </c>
      <c r="I13" s="1" t="s">
        <v>1129</v>
      </c>
      <c r="J13" s="41" t="s">
        <v>127</v>
      </c>
      <c r="K13" s="31"/>
    </row>
    <row r="14" spans="1:11">
      <c r="A14" s="5" t="b">
        <v>0</v>
      </c>
      <c r="B14" s="6" t="s">
        <v>35</v>
      </c>
      <c r="C14" s="6"/>
      <c r="D14" s="6" t="b">
        <v>0</v>
      </c>
      <c r="E14" s="6" t="b">
        <v>1</v>
      </c>
      <c r="F14" s="1" t="s">
        <v>1309</v>
      </c>
      <c r="G14" s="248" t="s">
        <v>1310</v>
      </c>
      <c r="H14" s="31" t="s">
        <v>1311</v>
      </c>
      <c r="I14" s="1"/>
      <c r="J14" s="41" t="s">
        <v>127</v>
      </c>
      <c r="K14" s="31"/>
    </row>
    <row r="15" spans="1:11">
      <c r="A15" s="5" t="b">
        <v>0</v>
      </c>
      <c r="B15" s="6" t="s">
        <v>35</v>
      </c>
      <c r="C15" s="6"/>
      <c r="D15" s="6" t="b">
        <v>0</v>
      </c>
      <c r="E15" s="6" t="b">
        <v>1</v>
      </c>
      <c r="F15" s="1" t="s">
        <v>1312</v>
      </c>
      <c r="G15" s="248" t="s">
        <v>1313</v>
      </c>
      <c r="H15" s="31" t="s">
        <v>1313</v>
      </c>
      <c r="I15" s="1" t="s">
        <v>1129</v>
      </c>
      <c r="J15" s="41" t="s">
        <v>127</v>
      </c>
      <c r="K15" s="31"/>
    </row>
    <row r="16" spans="1:11">
      <c r="A16" s="5" t="b">
        <v>0</v>
      </c>
      <c r="B16" s="6" t="s">
        <v>35</v>
      </c>
      <c r="C16" s="6"/>
      <c r="D16" s="6" t="b">
        <v>0</v>
      </c>
      <c r="E16" s="6" t="b">
        <v>1</v>
      </c>
      <c r="F16" s="1" t="s">
        <v>1314</v>
      </c>
      <c r="G16" s="249" t="s">
        <v>1315</v>
      </c>
      <c r="H16" s="31" t="s">
        <v>1315</v>
      </c>
      <c r="I16" s="1" t="s">
        <v>1129</v>
      </c>
      <c r="J16" s="41" t="s">
        <v>127</v>
      </c>
      <c r="K16" s="31"/>
    </row>
    <row r="17" spans="1:11">
      <c r="A17" s="5" t="b">
        <v>0</v>
      </c>
      <c r="B17" s="6" t="s">
        <v>35</v>
      </c>
      <c r="C17" s="6"/>
      <c r="D17" s="6" t="b">
        <v>0</v>
      </c>
      <c r="E17" s="6" t="b">
        <v>1</v>
      </c>
      <c r="F17" s="1" t="s">
        <v>1202</v>
      </c>
      <c r="G17" s="249" t="s">
        <v>1316</v>
      </c>
      <c r="H17" s="31" t="s">
        <v>1317</v>
      </c>
      <c r="I17" s="1" t="s">
        <v>1129</v>
      </c>
      <c r="J17" s="41" t="s">
        <v>127</v>
      </c>
      <c r="K17" s="31"/>
    </row>
    <row r="18" spans="1:11">
      <c r="A18" s="5" t="b">
        <v>0</v>
      </c>
      <c r="B18" s="6" t="s">
        <v>35</v>
      </c>
      <c r="C18" s="6"/>
      <c r="D18" s="6" t="b">
        <v>0</v>
      </c>
      <c r="E18" s="6" t="b">
        <v>1</v>
      </c>
      <c r="F18" s="1" t="s">
        <v>1213</v>
      </c>
      <c r="G18" s="248" t="s">
        <v>1318</v>
      </c>
      <c r="H18" s="31" t="s">
        <v>1319</v>
      </c>
      <c r="I18" s="1" t="s">
        <v>1129</v>
      </c>
      <c r="J18" s="41" t="s">
        <v>127</v>
      </c>
      <c r="K18" s="31"/>
    </row>
    <row r="19" spans="1:11" ht="29">
      <c r="A19" s="5" t="b">
        <v>0</v>
      </c>
      <c r="B19" s="6" t="s">
        <v>35</v>
      </c>
      <c r="C19" s="6"/>
      <c r="D19" s="6" t="b">
        <v>0</v>
      </c>
      <c r="E19" s="6" t="b">
        <v>1</v>
      </c>
      <c r="F19" s="22" t="s">
        <v>1320</v>
      </c>
      <c r="G19" s="40" t="s">
        <v>1321</v>
      </c>
      <c r="H19" s="31" t="s">
        <v>1322</v>
      </c>
      <c r="I19" s="1" t="s">
        <v>1129</v>
      </c>
      <c r="J19" s="41" t="s">
        <v>127</v>
      </c>
      <c r="K19" s="31"/>
    </row>
    <row r="20" spans="1:11" ht="29">
      <c r="A20" s="5" t="b">
        <v>0</v>
      </c>
      <c r="B20" s="6" t="s">
        <v>35</v>
      </c>
      <c r="C20" s="6"/>
      <c r="D20" s="6" t="b">
        <v>0</v>
      </c>
      <c r="E20" s="6" t="b">
        <v>1</v>
      </c>
      <c r="F20" s="22" t="s">
        <v>1323</v>
      </c>
      <c r="G20" s="40" t="s">
        <v>1324</v>
      </c>
      <c r="H20" s="36" t="s">
        <v>1325</v>
      </c>
      <c r="I20" s="1" t="s">
        <v>1129</v>
      </c>
      <c r="J20" s="41" t="s">
        <v>127</v>
      </c>
      <c r="K20" s="31"/>
    </row>
    <row r="21" spans="1:11">
      <c r="A21" s="5" t="b">
        <v>0</v>
      </c>
      <c r="B21" s="6" t="s">
        <v>35</v>
      </c>
      <c r="C21" s="6"/>
      <c r="D21" s="6" t="b">
        <v>0</v>
      </c>
      <c r="E21" s="6" t="b">
        <v>1</v>
      </c>
      <c r="F21" s="1" t="s">
        <v>1326</v>
      </c>
      <c r="G21" s="250">
        <v>1000215215</v>
      </c>
      <c r="H21" s="37">
        <v>500118192</v>
      </c>
      <c r="I21" s="1" t="s">
        <v>1129</v>
      </c>
      <c r="J21" s="41" t="s">
        <v>127</v>
      </c>
      <c r="K21" s="31"/>
    </row>
    <row r="22" spans="1:11">
      <c r="A22" s="5" t="b">
        <v>0</v>
      </c>
      <c r="B22" s="6" t="s">
        <v>35</v>
      </c>
      <c r="C22" s="6"/>
      <c r="D22" s="6" t="b">
        <v>0</v>
      </c>
      <c r="E22" s="6" t="b">
        <v>1</v>
      </c>
      <c r="F22" s="22" t="s">
        <v>1327</v>
      </c>
      <c r="G22" s="248" t="s">
        <v>1328</v>
      </c>
      <c r="H22" s="37" t="s">
        <v>1328</v>
      </c>
      <c r="I22" s="1" t="s">
        <v>1129</v>
      </c>
      <c r="J22" s="41" t="s">
        <v>127</v>
      </c>
      <c r="K22" s="31"/>
    </row>
    <row r="23" spans="1:11">
      <c r="A23" s="5" t="b">
        <v>0</v>
      </c>
      <c r="B23" s="6" t="s">
        <v>35</v>
      </c>
      <c r="C23" s="6"/>
      <c r="D23" s="6" t="b">
        <v>0</v>
      </c>
      <c r="E23" s="6" t="b">
        <v>1</v>
      </c>
      <c r="F23" s="1" t="s">
        <v>59</v>
      </c>
      <c r="G23" s="191" t="s">
        <v>1329</v>
      </c>
      <c r="H23" s="31" t="s">
        <v>1330</v>
      </c>
      <c r="I23" s="1" t="s">
        <v>1129</v>
      </c>
      <c r="J23" s="41" t="s">
        <v>127</v>
      </c>
      <c r="K23" s="31"/>
    </row>
    <row r="24" spans="1:11">
      <c r="A24" s="7" t="b">
        <v>0</v>
      </c>
      <c r="B24" s="7" t="s">
        <v>35</v>
      </c>
      <c r="C24" s="7"/>
      <c r="D24" s="7"/>
      <c r="E24" s="7"/>
      <c r="F24" s="7" t="s">
        <v>37</v>
      </c>
      <c r="G24" s="7"/>
      <c r="H24" s="4"/>
      <c r="I24" s="4"/>
      <c r="J24" s="4"/>
      <c r="K24" s="4"/>
    </row>
    <row r="25" spans="1:11" ht="43.5">
      <c r="A25" s="5" t="b">
        <v>0</v>
      </c>
      <c r="B25" s="6" t="s">
        <v>35</v>
      </c>
      <c r="C25" s="6"/>
      <c r="D25" s="6" t="b">
        <v>0</v>
      </c>
      <c r="E25" s="6" t="b">
        <v>1</v>
      </c>
      <c r="F25" s="1"/>
      <c r="G25" s="94"/>
      <c r="H25" s="35"/>
      <c r="I25" s="1" t="s">
        <v>1129</v>
      </c>
      <c r="J25" s="41" t="s">
        <v>20</v>
      </c>
      <c r="K25" s="82" t="s">
        <v>161</v>
      </c>
    </row>
    <row r="26" spans="1:11" ht="29">
      <c r="A26" s="8" t="s">
        <v>4</v>
      </c>
      <c r="B26" s="8" t="s">
        <v>5</v>
      </c>
      <c r="C26" s="8" t="s">
        <v>6</v>
      </c>
      <c r="D26" s="8" t="s">
        <v>113</v>
      </c>
      <c r="E26" s="8" t="s">
        <v>114</v>
      </c>
      <c r="F26" s="8" t="s">
        <v>9</v>
      </c>
      <c r="G26" s="8" t="s">
        <v>10</v>
      </c>
      <c r="H26" s="8" t="s">
        <v>11</v>
      </c>
      <c r="I26" s="8" t="s">
        <v>12</v>
      </c>
      <c r="J26" s="29" t="s">
        <v>13</v>
      </c>
      <c r="K26" s="29" t="s">
        <v>14</v>
      </c>
    </row>
    <row r="27" spans="1:11">
      <c r="A27" s="9"/>
      <c r="B27" s="10" t="s">
        <v>15</v>
      </c>
      <c r="C27" s="10"/>
      <c r="D27" s="10" t="b">
        <v>0</v>
      </c>
      <c r="E27" s="10" t="b">
        <v>1</v>
      </c>
      <c r="F27" s="11" t="s">
        <v>1300</v>
      </c>
      <c r="G27" s="11"/>
      <c r="H27" s="11"/>
      <c r="I27" s="11"/>
      <c r="J27" s="11"/>
      <c r="K27" s="11"/>
    </row>
    <row r="28" spans="1:11" ht="29">
      <c r="A28" s="20"/>
      <c r="B28" s="14" t="s">
        <v>17</v>
      </c>
      <c r="C28" s="14"/>
      <c r="D28" s="14" t="b">
        <v>0</v>
      </c>
      <c r="E28" s="14" t="b">
        <v>1</v>
      </c>
      <c r="F28" s="14" t="s">
        <v>18</v>
      </c>
      <c r="G28" s="14" t="s">
        <v>1331</v>
      </c>
      <c r="H28" s="14" t="s">
        <v>1332</v>
      </c>
      <c r="I28" s="14"/>
      <c r="J28" s="41" t="s">
        <v>127</v>
      </c>
      <c r="K28" s="31"/>
    </row>
    <row r="29" spans="1:11" hidden="1">
      <c r="A29" s="5" t="b">
        <v>1</v>
      </c>
      <c r="B29" s="6" t="s">
        <v>21</v>
      </c>
      <c r="C29" s="6"/>
      <c r="D29" s="6" t="b">
        <v>0</v>
      </c>
      <c r="E29" s="6" t="b">
        <v>1</v>
      </c>
      <c r="F29" s="1" t="s">
        <v>22</v>
      </c>
      <c r="G29" s="1"/>
      <c r="H29" s="1" t="s">
        <v>60</v>
      </c>
      <c r="I29" s="1"/>
      <c r="J29" s="1"/>
      <c r="K29" s="31"/>
    </row>
    <row r="30" spans="1:11" hidden="1">
      <c r="A30" s="5" t="b">
        <v>0</v>
      </c>
      <c r="B30" s="6" t="s">
        <v>24</v>
      </c>
      <c r="C30" s="6"/>
      <c r="D30" s="6" t="b">
        <v>0</v>
      </c>
      <c r="E30" s="6" t="b">
        <v>1</v>
      </c>
      <c r="F30" s="1" t="s">
        <v>25</v>
      </c>
      <c r="G30" s="1"/>
      <c r="H30" s="1">
        <v>2</v>
      </c>
      <c r="I30" s="1"/>
      <c r="J30" s="1"/>
      <c r="K30" s="31"/>
    </row>
    <row r="31" spans="1:11" hidden="1">
      <c r="A31" s="5" t="b">
        <v>0</v>
      </c>
      <c r="B31" s="6" t="s">
        <v>26</v>
      </c>
      <c r="C31" s="6"/>
      <c r="D31" s="6" t="b">
        <v>0</v>
      </c>
      <c r="E31" s="6" t="b">
        <v>1</v>
      </c>
      <c r="F31" s="1" t="s">
        <v>27</v>
      </c>
      <c r="G31" s="1"/>
      <c r="H31" s="1"/>
      <c r="I31" s="1"/>
      <c r="J31" s="1"/>
      <c r="K31" s="31"/>
    </row>
    <row r="32" spans="1:11" hidden="1">
      <c r="A32" s="5" t="b">
        <v>1</v>
      </c>
      <c r="B32" s="6" t="s">
        <v>28</v>
      </c>
      <c r="C32" s="6"/>
      <c r="D32" s="6" t="b">
        <v>0</v>
      </c>
      <c r="E32" s="6" t="b">
        <v>1</v>
      </c>
      <c r="F32" s="1" t="s">
        <v>29</v>
      </c>
      <c r="G32" s="1"/>
      <c r="H32" s="1" t="s">
        <v>30</v>
      </c>
      <c r="I32" s="1"/>
      <c r="J32" s="1"/>
      <c r="K32" s="31"/>
    </row>
    <row r="33" spans="1:11" hidden="1">
      <c r="A33" s="3"/>
      <c r="B33" s="4" t="s">
        <v>31</v>
      </c>
      <c r="C33" s="4"/>
      <c r="D33" s="4" t="b">
        <v>0</v>
      </c>
      <c r="E33" s="4" t="b">
        <v>1</v>
      </c>
      <c r="F33" s="7" t="s">
        <v>32</v>
      </c>
      <c r="G33" s="7"/>
      <c r="H33" s="7"/>
      <c r="I33" s="7"/>
      <c r="J33" s="7"/>
      <c r="K33" s="7"/>
    </row>
    <row r="34" spans="1:11">
      <c r="A34" s="5" t="b">
        <v>1</v>
      </c>
      <c r="B34" s="6" t="s">
        <v>33</v>
      </c>
      <c r="C34" s="6"/>
      <c r="D34" s="6" t="b">
        <v>0</v>
      </c>
      <c r="E34" s="6" t="b">
        <v>1</v>
      </c>
      <c r="F34" s="1" t="s">
        <v>1303</v>
      </c>
      <c r="G34" s="248" t="s">
        <v>1304</v>
      </c>
      <c r="H34" s="31" t="s">
        <v>1305</v>
      </c>
      <c r="I34" s="1" t="s">
        <v>1129</v>
      </c>
      <c r="J34" s="41" t="s">
        <v>127</v>
      </c>
      <c r="K34" s="31"/>
    </row>
    <row r="35" spans="1:11">
      <c r="A35" s="5" t="b">
        <v>0</v>
      </c>
      <c r="B35" s="6" t="s">
        <v>35</v>
      </c>
      <c r="C35" s="6"/>
      <c r="D35" s="6" t="b">
        <v>0</v>
      </c>
      <c r="E35" s="6" t="b">
        <v>1</v>
      </c>
      <c r="F35" s="1" t="s">
        <v>1306</v>
      </c>
      <c r="G35" s="249" t="s">
        <v>1333</v>
      </c>
      <c r="H35" s="31" t="s">
        <v>1308</v>
      </c>
      <c r="I35" s="1" t="s">
        <v>1129</v>
      </c>
      <c r="J35" s="41" t="s">
        <v>127</v>
      </c>
      <c r="K35" s="31"/>
    </row>
    <row r="36" spans="1:11">
      <c r="A36" s="5" t="b">
        <v>0</v>
      </c>
      <c r="B36" s="6" t="s">
        <v>35</v>
      </c>
      <c r="C36" s="6"/>
      <c r="D36" s="6" t="b">
        <v>0</v>
      </c>
      <c r="E36" s="6" t="b">
        <v>1</v>
      </c>
      <c r="F36" s="1" t="s">
        <v>1309</v>
      </c>
      <c r="G36" s="248" t="s">
        <v>1310</v>
      </c>
      <c r="H36" s="31" t="s">
        <v>1310</v>
      </c>
      <c r="I36" s="1" t="s">
        <v>1129</v>
      </c>
      <c r="J36" s="41" t="s">
        <v>127</v>
      </c>
      <c r="K36" s="31"/>
    </row>
    <row r="37" spans="1:11">
      <c r="A37" s="5" t="b">
        <v>0</v>
      </c>
      <c r="B37" s="6" t="s">
        <v>35</v>
      </c>
      <c r="C37" s="6"/>
      <c r="D37" s="6" t="b">
        <v>0</v>
      </c>
      <c r="E37" s="6" t="b">
        <v>1</v>
      </c>
      <c r="F37" s="1" t="s">
        <v>1312</v>
      </c>
      <c r="G37" s="248" t="s">
        <v>1313</v>
      </c>
      <c r="H37" s="31" t="s">
        <v>1313</v>
      </c>
      <c r="I37" s="1" t="s">
        <v>1129</v>
      </c>
      <c r="J37" s="41" t="s">
        <v>127</v>
      </c>
      <c r="K37" s="31"/>
    </row>
    <row r="38" spans="1:11">
      <c r="A38" s="5" t="b">
        <v>0</v>
      </c>
      <c r="B38" s="6" t="s">
        <v>35</v>
      </c>
      <c r="C38" s="6"/>
      <c r="D38" s="6" t="b">
        <v>0</v>
      </c>
      <c r="E38" s="6" t="b">
        <v>1</v>
      </c>
      <c r="F38" s="1" t="s">
        <v>1314</v>
      </c>
      <c r="G38" s="249" t="s">
        <v>1315</v>
      </c>
      <c r="H38" s="31" t="s">
        <v>1315</v>
      </c>
      <c r="I38" s="1" t="s">
        <v>1129</v>
      </c>
      <c r="J38" s="41" t="s">
        <v>127</v>
      </c>
      <c r="K38" s="31"/>
    </row>
    <row r="39" spans="1:11">
      <c r="A39" s="5" t="b">
        <v>0</v>
      </c>
      <c r="B39" s="6" t="s">
        <v>35</v>
      </c>
      <c r="C39" s="6"/>
      <c r="D39" s="6" t="b">
        <v>0</v>
      </c>
      <c r="E39" s="6" t="b">
        <v>1</v>
      </c>
      <c r="F39" s="1" t="s">
        <v>1202</v>
      </c>
      <c r="G39" s="249" t="s">
        <v>1316</v>
      </c>
      <c r="H39" s="31" t="s">
        <v>1317</v>
      </c>
      <c r="I39" s="1" t="s">
        <v>1129</v>
      </c>
      <c r="J39" s="41" t="s">
        <v>127</v>
      </c>
      <c r="K39" s="31"/>
    </row>
    <row r="40" spans="1:11">
      <c r="A40" s="5" t="b">
        <v>0</v>
      </c>
      <c r="B40" s="6" t="s">
        <v>35</v>
      </c>
      <c r="C40" s="6"/>
      <c r="D40" s="6" t="b">
        <v>0</v>
      </c>
      <c r="E40" s="6" t="b">
        <v>1</v>
      </c>
      <c r="F40" s="1" t="s">
        <v>1213</v>
      </c>
      <c r="G40" s="248" t="s">
        <v>1318</v>
      </c>
      <c r="H40" s="31" t="s">
        <v>1319</v>
      </c>
      <c r="I40" s="1" t="s">
        <v>1129</v>
      </c>
      <c r="J40" s="41" t="s">
        <v>127</v>
      </c>
      <c r="K40" s="31"/>
    </row>
    <row r="41" spans="1:11" ht="29">
      <c r="A41" s="5" t="b">
        <v>0</v>
      </c>
      <c r="B41" s="6" t="s">
        <v>35</v>
      </c>
      <c r="C41" s="6"/>
      <c r="D41" s="6" t="b">
        <v>0</v>
      </c>
      <c r="E41" s="6" t="b">
        <v>1</v>
      </c>
      <c r="F41" s="22" t="s">
        <v>1320</v>
      </c>
      <c r="G41" s="40" t="s">
        <v>1321</v>
      </c>
      <c r="H41" s="31" t="s">
        <v>1322</v>
      </c>
      <c r="I41" s="1" t="s">
        <v>1129</v>
      </c>
      <c r="J41" s="41" t="s">
        <v>127</v>
      </c>
      <c r="K41" s="31"/>
    </row>
    <row r="42" spans="1:11" ht="29">
      <c r="A42" s="5" t="b">
        <v>0</v>
      </c>
      <c r="B42" s="6" t="s">
        <v>35</v>
      </c>
      <c r="C42" s="6"/>
      <c r="D42" s="6" t="b">
        <v>0</v>
      </c>
      <c r="E42" s="6" t="b">
        <v>1</v>
      </c>
      <c r="F42" s="22" t="s">
        <v>1323</v>
      </c>
      <c r="G42" s="40" t="s">
        <v>1334</v>
      </c>
      <c r="H42" s="36" t="s">
        <v>1325</v>
      </c>
      <c r="I42" s="1" t="s">
        <v>1129</v>
      </c>
      <c r="J42" s="41" t="s">
        <v>127</v>
      </c>
      <c r="K42" s="31"/>
    </row>
    <row r="43" spans="1:11">
      <c r="A43" s="5" t="b">
        <v>0</v>
      </c>
      <c r="B43" s="6" t="s">
        <v>35</v>
      </c>
      <c r="C43" s="6"/>
      <c r="D43" s="6" t="b">
        <v>0</v>
      </c>
      <c r="E43" s="6" t="b">
        <v>1</v>
      </c>
      <c r="F43" s="1" t="s">
        <v>1326</v>
      </c>
      <c r="G43" s="250">
        <v>2000409264</v>
      </c>
      <c r="H43" s="37">
        <v>500118192</v>
      </c>
      <c r="I43" s="1" t="s">
        <v>1129</v>
      </c>
      <c r="J43" s="41" t="s">
        <v>127</v>
      </c>
      <c r="K43" s="31"/>
    </row>
    <row r="44" spans="1:11">
      <c r="A44" s="5" t="b">
        <v>0</v>
      </c>
      <c r="B44" s="6" t="s">
        <v>35</v>
      </c>
      <c r="C44" s="6"/>
      <c r="D44" s="6" t="b">
        <v>0</v>
      </c>
      <c r="E44" s="6" t="b">
        <v>1</v>
      </c>
      <c r="F44" s="22" t="s">
        <v>1327</v>
      </c>
      <c r="G44" s="248" t="s">
        <v>1328</v>
      </c>
      <c r="H44" s="37" t="s">
        <v>1328</v>
      </c>
      <c r="I44" s="1" t="s">
        <v>1129</v>
      </c>
      <c r="J44" s="41" t="s">
        <v>127</v>
      </c>
      <c r="K44" s="31"/>
    </row>
    <row r="45" spans="1:11">
      <c r="A45" s="5" t="b">
        <v>0</v>
      </c>
      <c r="B45" s="6" t="s">
        <v>35</v>
      </c>
      <c r="C45" s="6"/>
      <c r="D45" s="6" t="b">
        <v>0</v>
      </c>
      <c r="E45" s="6" t="b">
        <v>1</v>
      </c>
      <c r="F45" s="1" t="s">
        <v>59</v>
      </c>
      <c r="G45" s="191" t="s">
        <v>1329</v>
      </c>
      <c r="H45" s="31" t="s">
        <v>1330</v>
      </c>
      <c r="I45" s="1" t="s">
        <v>1129</v>
      </c>
      <c r="J45" s="41" t="s">
        <v>127</v>
      </c>
      <c r="K45" s="31"/>
    </row>
    <row r="46" spans="1:11">
      <c r="A46" s="7" t="b">
        <v>0</v>
      </c>
      <c r="B46" s="7" t="s">
        <v>35</v>
      </c>
      <c r="C46" s="7"/>
      <c r="D46" s="7"/>
      <c r="E46" s="7"/>
      <c r="F46" s="7" t="s">
        <v>37</v>
      </c>
      <c r="G46" s="7"/>
      <c r="H46" s="4"/>
      <c r="I46" s="4"/>
      <c r="J46" s="4"/>
      <c r="K46" s="4"/>
    </row>
    <row r="47" spans="1:11" ht="43.5">
      <c r="A47" s="5" t="b">
        <v>0</v>
      </c>
      <c r="B47" s="6" t="s">
        <v>35</v>
      </c>
      <c r="C47" s="6"/>
      <c r="D47" s="6" t="b">
        <v>0</v>
      </c>
      <c r="E47" s="6" t="b">
        <v>1</v>
      </c>
      <c r="F47" s="1"/>
      <c r="G47" s="94"/>
      <c r="H47" s="35"/>
      <c r="I47" s="1" t="s">
        <v>1129</v>
      </c>
      <c r="J47" s="41" t="s">
        <v>20</v>
      </c>
      <c r="K47" s="82" t="s">
        <v>161</v>
      </c>
    </row>
    <row r="48" spans="1:11" ht="29">
      <c r="A48" s="8" t="s">
        <v>4</v>
      </c>
      <c r="B48" s="8" t="s">
        <v>5</v>
      </c>
      <c r="C48" s="8" t="s">
        <v>6</v>
      </c>
      <c r="D48" s="8" t="s">
        <v>113</v>
      </c>
      <c r="E48" s="8" t="s">
        <v>114</v>
      </c>
      <c r="F48" s="8" t="s">
        <v>9</v>
      </c>
      <c r="G48" s="8" t="s">
        <v>10</v>
      </c>
      <c r="H48" s="8" t="s">
        <v>11</v>
      </c>
      <c r="I48" s="8" t="s">
        <v>12</v>
      </c>
      <c r="J48" s="29" t="s">
        <v>13</v>
      </c>
      <c r="K48" s="29" t="s">
        <v>14</v>
      </c>
    </row>
    <row r="49" spans="1:11">
      <c r="A49" s="9"/>
      <c r="B49" s="10" t="s">
        <v>15</v>
      </c>
      <c r="C49" s="10"/>
      <c r="D49" s="10" t="b">
        <v>0</v>
      </c>
      <c r="E49" s="10" t="b">
        <v>1</v>
      </c>
      <c r="F49" s="11" t="s">
        <v>1300</v>
      </c>
      <c r="G49" s="11"/>
      <c r="H49" s="11"/>
      <c r="I49" s="11"/>
      <c r="J49" s="11"/>
      <c r="K49" s="11"/>
    </row>
    <row r="50" spans="1:11" ht="29">
      <c r="A50" s="20"/>
      <c r="B50" s="14" t="s">
        <v>17</v>
      </c>
      <c r="C50" s="14"/>
      <c r="D50" s="14" t="b">
        <v>0</v>
      </c>
      <c r="E50" s="14" t="b">
        <v>1</v>
      </c>
      <c r="F50" s="14" t="s">
        <v>18</v>
      </c>
      <c r="G50" s="14" t="s">
        <v>1335</v>
      </c>
      <c r="H50" s="14" t="s">
        <v>1336</v>
      </c>
      <c r="I50" s="14"/>
      <c r="J50" s="41" t="s">
        <v>127</v>
      </c>
      <c r="K50" s="31"/>
    </row>
    <row r="51" spans="1:11" hidden="1">
      <c r="A51" s="5" t="b">
        <v>1</v>
      </c>
      <c r="B51" s="6" t="s">
        <v>21</v>
      </c>
      <c r="C51" s="6"/>
      <c r="D51" s="6" t="b">
        <v>0</v>
      </c>
      <c r="E51" s="6" t="b">
        <v>1</v>
      </c>
      <c r="F51" s="1" t="s">
        <v>22</v>
      </c>
      <c r="G51" s="1"/>
      <c r="H51" s="1" t="s">
        <v>60</v>
      </c>
      <c r="I51" s="1"/>
      <c r="J51" s="1"/>
      <c r="K51" s="31"/>
    </row>
    <row r="52" spans="1:11" hidden="1">
      <c r="A52" s="5" t="b">
        <v>0</v>
      </c>
      <c r="B52" s="6" t="s">
        <v>24</v>
      </c>
      <c r="C52" s="6"/>
      <c r="D52" s="6" t="b">
        <v>0</v>
      </c>
      <c r="E52" s="6" t="b">
        <v>1</v>
      </c>
      <c r="F52" s="1" t="s">
        <v>25</v>
      </c>
      <c r="G52" s="1"/>
      <c r="H52" s="1">
        <v>2</v>
      </c>
      <c r="I52" s="1"/>
      <c r="J52" s="1"/>
      <c r="K52" s="31"/>
    </row>
    <row r="53" spans="1:11" hidden="1">
      <c r="A53" s="5" t="b">
        <v>0</v>
      </c>
      <c r="B53" s="6" t="s">
        <v>26</v>
      </c>
      <c r="C53" s="6"/>
      <c r="D53" s="6" t="b">
        <v>0</v>
      </c>
      <c r="E53" s="6" t="b">
        <v>1</v>
      </c>
      <c r="F53" s="1" t="s">
        <v>27</v>
      </c>
      <c r="G53" s="1"/>
      <c r="H53" s="1"/>
      <c r="I53" s="1"/>
      <c r="J53" s="1"/>
      <c r="K53" s="31"/>
    </row>
    <row r="54" spans="1:11" hidden="1">
      <c r="A54" s="5" t="b">
        <v>1</v>
      </c>
      <c r="B54" s="6" t="s">
        <v>28</v>
      </c>
      <c r="C54" s="6"/>
      <c r="D54" s="6" t="b">
        <v>0</v>
      </c>
      <c r="E54" s="6" t="b">
        <v>1</v>
      </c>
      <c r="F54" s="1" t="s">
        <v>29</v>
      </c>
      <c r="G54" s="1"/>
      <c r="H54" s="1" t="s">
        <v>30</v>
      </c>
      <c r="I54" s="1"/>
      <c r="J54" s="1"/>
      <c r="K54" s="31"/>
    </row>
    <row r="55" spans="1:11" hidden="1">
      <c r="A55" s="3"/>
      <c r="B55" s="4" t="s">
        <v>31</v>
      </c>
      <c r="C55" s="4"/>
      <c r="D55" s="4" t="b">
        <v>0</v>
      </c>
      <c r="E55" s="4" t="b">
        <v>1</v>
      </c>
      <c r="F55" s="7" t="s">
        <v>32</v>
      </c>
      <c r="G55" s="7"/>
      <c r="H55" s="7"/>
      <c r="I55" s="7"/>
      <c r="J55" s="7"/>
      <c r="K55" s="7"/>
    </row>
    <row r="56" spans="1:11">
      <c r="A56" s="5" t="b">
        <v>1</v>
      </c>
      <c r="B56" s="6" t="s">
        <v>33</v>
      </c>
      <c r="C56" s="6"/>
      <c r="D56" s="6" t="b">
        <v>0</v>
      </c>
      <c r="E56" s="6" t="b">
        <v>1</v>
      </c>
      <c r="F56" s="1" t="s">
        <v>1303</v>
      </c>
      <c r="G56" s="248" t="s">
        <v>1304</v>
      </c>
      <c r="H56" s="31" t="s">
        <v>1305</v>
      </c>
      <c r="I56" s="1" t="s">
        <v>1129</v>
      </c>
      <c r="J56" s="41" t="s">
        <v>127</v>
      </c>
      <c r="K56" s="31"/>
    </row>
    <row r="57" spans="1:11">
      <c r="A57" s="5" t="b">
        <v>1</v>
      </c>
      <c r="B57" s="6" t="s">
        <v>35</v>
      </c>
      <c r="C57" s="6"/>
      <c r="D57" s="6" t="b">
        <v>0</v>
      </c>
      <c r="E57" s="6" t="b">
        <v>1</v>
      </c>
      <c r="F57" s="1" t="s">
        <v>1306</v>
      </c>
      <c r="G57" s="249" t="s">
        <v>1337</v>
      </c>
      <c r="H57" s="31" t="s">
        <v>1338</v>
      </c>
      <c r="I57" s="1"/>
      <c r="J57" s="41" t="s">
        <v>127</v>
      </c>
      <c r="K57" s="31"/>
    </row>
    <row r="58" spans="1:11">
      <c r="A58" s="5" t="b">
        <v>0</v>
      </c>
      <c r="B58" s="6" t="s">
        <v>35</v>
      </c>
      <c r="C58" s="6"/>
      <c r="D58" s="6" t="b">
        <v>0</v>
      </c>
      <c r="E58" s="6" t="b">
        <v>1</v>
      </c>
      <c r="F58" s="1" t="s">
        <v>1309</v>
      </c>
      <c r="G58" s="248" t="s">
        <v>1310</v>
      </c>
      <c r="H58" s="31" t="s">
        <v>1310</v>
      </c>
      <c r="I58" s="1" t="s">
        <v>1129</v>
      </c>
      <c r="J58" s="41" t="s">
        <v>127</v>
      </c>
      <c r="K58" s="31"/>
    </row>
    <row r="59" spans="1:11">
      <c r="A59" s="5" t="b">
        <v>0</v>
      </c>
      <c r="B59" s="6" t="s">
        <v>35</v>
      </c>
      <c r="C59" s="6"/>
      <c r="D59" s="6" t="b">
        <v>0</v>
      </c>
      <c r="E59" s="6" t="b">
        <v>1</v>
      </c>
      <c r="F59" s="1" t="s">
        <v>1312</v>
      </c>
      <c r="G59" s="248" t="s">
        <v>1313</v>
      </c>
      <c r="H59" s="35" t="s">
        <v>1313</v>
      </c>
      <c r="I59" s="1"/>
      <c r="J59" s="41" t="s">
        <v>127</v>
      </c>
      <c r="K59" s="31"/>
    </row>
    <row r="60" spans="1:11">
      <c r="A60" s="5" t="b">
        <v>0</v>
      </c>
      <c r="B60" s="6" t="s">
        <v>35</v>
      </c>
      <c r="C60" s="6"/>
      <c r="D60" s="6" t="b">
        <v>0</v>
      </c>
      <c r="E60" s="6" t="b">
        <v>1</v>
      </c>
      <c r="F60" s="1" t="s">
        <v>1314</v>
      </c>
      <c r="G60" s="249" t="s">
        <v>1315</v>
      </c>
      <c r="H60" s="35" t="s">
        <v>1315</v>
      </c>
      <c r="I60" s="1" t="s">
        <v>1129</v>
      </c>
      <c r="J60" s="41" t="s">
        <v>127</v>
      </c>
      <c r="K60" s="31"/>
    </row>
    <row r="61" spans="1:11">
      <c r="A61" s="5" t="b">
        <v>0</v>
      </c>
      <c r="B61" s="6" t="s">
        <v>35</v>
      </c>
      <c r="C61" s="6"/>
      <c r="D61" s="6" t="b">
        <v>0</v>
      </c>
      <c r="E61" s="6" t="b">
        <v>1</v>
      </c>
      <c r="F61" s="1" t="s">
        <v>1202</v>
      </c>
      <c r="G61" s="249" t="s">
        <v>1316</v>
      </c>
      <c r="H61" s="31" t="s">
        <v>1317</v>
      </c>
      <c r="I61" s="1" t="s">
        <v>1129</v>
      </c>
      <c r="J61" s="41" t="s">
        <v>127</v>
      </c>
      <c r="K61" s="31"/>
    </row>
    <row r="62" spans="1:11">
      <c r="A62" s="5" t="b">
        <v>0</v>
      </c>
      <c r="B62" s="6" t="s">
        <v>35</v>
      </c>
      <c r="C62" s="6"/>
      <c r="D62" s="6" t="b">
        <v>0</v>
      </c>
      <c r="E62" s="6" t="b">
        <v>1</v>
      </c>
      <c r="F62" s="1" t="s">
        <v>1213</v>
      </c>
      <c r="G62" s="248" t="s">
        <v>1318</v>
      </c>
      <c r="H62" s="31" t="s">
        <v>1319</v>
      </c>
      <c r="I62" s="1" t="s">
        <v>1129</v>
      </c>
      <c r="J62" s="41" t="s">
        <v>127</v>
      </c>
      <c r="K62" s="31"/>
    </row>
    <row r="63" spans="1:11" ht="29">
      <c r="A63" s="5" t="b">
        <v>0</v>
      </c>
      <c r="B63" s="6" t="s">
        <v>35</v>
      </c>
      <c r="C63" s="6"/>
      <c r="D63" s="6" t="b">
        <v>0</v>
      </c>
      <c r="E63" s="6" t="b">
        <v>1</v>
      </c>
      <c r="F63" s="22" t="s">
        <v>1320</v>
      </c>
      <c r="G63" s="40" t="s">
        <v>1321</v>
      </c>
      <c r="H63" s="31" t="s">
        <v>1339</v>
      </c>
      <c r="I63" s="1" t="s">
        <v>1129</v>
      </c>
      <c r="J63" s="41" t="s">
        <v>127</v>
      </c>
      <c r="K63" s="31"/>
    </row>
    <row r="64" spans="1:11" ht="29">
      <c r="A64" s="5" t="b">
        <v>0</v>
      </c>
      <c r="B64" s="6" t="s">
        <v>35</v>
      </c>
      <c r="C64" s="6"/>
      <c r="D64" s="6" t="b">
        <v>0</v>
      </c>
      <c r="E64" s="6" t="b">
        <v>1</v>
      </c>
      <c r="F64" s="22" t="s">
        <v>1323</v>
      </c>
      <c r="G64" s="40" t="s">
        <v>1334</v>
      </c>
      <c r="H64" s="36" t="s">
        <v>1340</v>
      </c>
      <c r="I64" s="1" t="s">
        <v>1129</v>
      </c>
      <c r="J64" s="41" t="s">
        <v>127</v>
      </c>
      <c r="K64" s="31"/>
    </row>
    <row r="65" spans="1:11">
      <c r="A65" s="5" t="b">
        <v>0</v>
      </c>
      <c r="B65" s="6" t="s">
        <v>35</v>
      </c>
      <c r="C65" s="6"/>
      <c r="D65" s="6" t="b">
        <v>0</v>
      </c>
      <c r="E65" s="6" t="b">
        <v>1</v>
      </c>
      <c r="F65" s="1" t="s">
        <v>1326</v>
      </c>
      <c r="G65" s="250">
        <v>4000797360</v>
      </c>
      <c r="H65" s="37">
        <v>250069680</v>
      </c>
      <c r="I65" s="1" t="s">
        <v>1129</v>
      </c>
      <c r="J65" s="41" t="s">
        <v>127</v>
      </c>
      <c r="K65" s="31"/>
    </row>
    <row r="66" spans="1:11">
      <c r="A66" s="5" t="b">
        <v>0</v>
      </c>
      <c r="B66" s="6" t="s">
        <v>35</v>
      </c>
      <c r="C66" s="6"/>
      <c r="D66" s="6" t="b">
        <v>0</v>
      </c>
      <c r="E66" s="6" t="b">
        <v>1</v>
      </c>
      <c r="F66" s="22" t="s">
        <v>1327</v>
      </c>
      <c r="G66" s="248" t="s">
        <v>1328</v>
      </c>
      <c r="H66" s="37" t="s">
        <v>1328</v>
      </c>
      <c r="I66" s="1" t="s">
        <v>1129</v>
      </c>
      <c r="J66" s="41" t="s">
        <v>127</v>
      </c>
      <c r="K66" s="31"/>
    </row>
    <row r="67" spans="1:11">
      <c r="A67" s="5" t="b">
        <v>0</v>
      </c>
      <c r="B67" s="6" t="s">
        <v>35</v>
      </c>
      <c r="C67" s="6"/>
      <c r="D67" s="6" t="b">
        <v>0</v>
      </c>
      <c r="E67" s="6" t="b">
        <v>1</v>
      </c>
      <c r="F67" s="1" t="s">
        <v>59</v>
      </c>
      <c r="G67" s="191" t="s">
        <v>1329</v>
      </c>
      <c r="H67" s="31" t="s">
        <v>1330</v>
      </c>
      <c r="I67" s="1" t="s">
        <v>1129</v>
      </c>
      <c r="J67" s="41" t="s">
        <v>127</v>
      </c>
      <c r="K67" s="31"/>
    </row>
    <row r="68" spans="1:11">
      <c r="A68" s="7" t="b">
        <v>0</v>
      </c>
      <c r="B68" s="7" t="s">
        <v>35</v>
      </c>
      <c r="C68" s="7"/>
      <c r="D68" s="7"/>
      <c r="E68" s="7"/>
      <c r="F68" s="7" t="s">
        <v>37</v>
      </c>
      <c r="G68" s="7"/>
      <c r="H68" s="4"/>
      <c r="I68" s="4"/>
      <c r="J68" s="4"/>
      <c r="K68" s="4"/>
    </row>
    <row r="69" spans="1:11" ht="43.5">
      <c r="A69" s="5" t="b">
        <v>0</v>
      </c>
      <c r="B69" s="6" t="s">
        <v>35</v>
      </c>
      <c r="C69" s="6"/>
      <c r="D69" s="6" t="b">
        <v>0</v>
      </c>
      <c r="E69" s="6" t="b">
        <v>1</v>
      </c>
      <c r="F69" s="1"/>
      <c r="G69" s="94"/>
      <c r="H69" s="35"/>
      <c r="I69" s="1" t="s">
        <v>1129</v>
      </c>
      <c r="J69" s="41" t="s">
        <v>20</v>
      </c>
      <c r="K69" s="82" t="s">
        <v>161</v>
      </c>
    </row>
    <row r="70" spans="1:11" ht="29">
      <c r="A70" s="8" t="s">
        <v>4</v>
      </c>
      <c r="B70" s="8" t="s">
        <v>5</v>
      </c>
      <c r="C70" s="8" t="s">
        <v>6</v>
      </c>
      <c r="D70" s="8" t="s">
        <v>113</v>
      </c>
      <c r="E70" s="8" t="s">
        <v>114</v>
      </c>
      <c r="F70" s="8" t="s">
        <v>9</v>
      </c>
      <c r="G70" s="8" t="s">
        <v>10</v>
      </c>
      <c r="H70" s="8" t="s">
        <v>11</v>
      </c>
      <c r="I70" s="8" t="s">
        <v>12</v>
      </c>
      <c r="J70" s="29" t="s">
        <v>13</v>
      </c>
      <c r="K70" s="29" t="s">
        <v>14</v>
      </c>
    </row>
    <row r="71" spans="1:11">
      <c r="A71" s="9"/>
      <c r="B71" s="10" t="s">
        <v>15</v>
      </c>
      <c r="C71" s="10"/>
      <c r="D71" s="10" t="b">
        <v>0</v>
      </c>
      <c r="E71" s="10" t="b">
        <v>1</v>
      </c>
      <c r="F71" s="11" t="s">
        <v>1300</v>
      </c>
      <c r="G71" s="11"/>
      <c r="H71" s="11"/>
      <c r="I71" s="11"/>
      <c r="J71" s="11"/>
      <c r="K71" s="11"/>
    </row>
    <row r="72" spans="1:11" ht="29">
      <c r="A72" s="20"/>
      <c r="B72" s="14" t="s">
        <v>17</v>
      </c>
      <c r="C72" s="14"/>
      <c r="D72" s="14" t="b">
        <v>0</v>
      </c>
      <c r="E72" s="14" t="b">
        <v>1</v>
      </c>
      <c r="F72" s="14" t="s">
        <v>18</v>
      </c>
      <c r="G72" s="14" t="s">
        <v>1341</v>
      </c>
      <c r="H72" s="14" t="s">
        <v>1302</v>
      </c>
      <c r="I72" s="14"/>
      <c r="J72" s="41" t="s">
        <v>127</v>
      </c>
      <c r="K72" s="31"/>
    </row>
    <row r="73" spans="1:11" hidden="1">
      <c r="A73" s="5" t="b">
        <v>1</v>
      </c>
      <c r="B73" s="6" t="s">
        <v>21</v>
      </c>
      <c r="C73" s="6"/>
      <c r="D73" s="6" t="b">
        <v>0</v>
      </c>
      <c r="E73" s="6" t="b">
        <v>1</v>
      </c>
      <c r="F73" s="1" t="s">
        <v>22</v>
      </c>
      <c r="G73" s="1"/>
      <c r="H73" s="1" t="s">
        <v>60</v>
      </c>
      <c r="I73" s="1"/>
      <c r="J73" s="1"/>
      <c r="K73" s="31"/>
    </row>
    <row r="74" spans="1:11" hidden="1">
      <c r="A74" s="5" t="b">
        <v>0</v>
      </c>
      <c r="B74" s="6" t="s">
        <v>24</v>
      </c>
      <c r="C74" s="6"/>
      <c r="D74" s="6" t="b">
        <v>0</v>
      </c>
      <c r="E74" s="6" t="b">
        <v>1</v>
      </c>
      <c r="F74" s="1" t="s">
        <v>25</v>
      </c>
      <c r="G74" s="1"/>
      <c r="H74" s="1">
        <v>2</v>
      </c>
      <c r="I74" s="1"/>
      <c r="J74" s="1"/>
      <c r="K74" s="31"/>
    </row>
    <row r="75" spans="1:11" hidden="1">
      <c r="A75" s="5" t="b">
        <v>0</v>
      </c>
      <c r="B75" s="6" t="s">
        <v>26</v>
      </c>
      <c r="C75" s="6"/>
      <c r="D75" s="6" t="b">
        <v>0</v>
      </c>
      <c r="E75" s="6" t="b">
        <v>1</v>
      </c>
      <c r="F75" s="1" t="s">
        <v>27</v>
      </c>
      <c r="G75" s="1"/>
      <c r="H75" s="1"/>
      <c r="I75" s="1"/>
      <c r="J75" s="1"/>
      <c r="K75" s="31"/>
    </row>
    <row r="76" spans="1:11" hidden="1">
      <c r="A76" s="5" t="b">
        <v>1</v>
      </c>
      <c r="B76" s="6" t="s">
        <v>28</v>
      </c>
      <c r="C76" s="6"/>
      <c r="D76" s="6" t="b">
        <v>0</v>
      </c>
      <c r="E76" s="6" t="b">
        <v>1</v>
      </c>
      <c r="F76" s="1" t="s">
        <v>29</v>
      </c>
      <c r="G76" s="1"/>
      <c r="H76" s="1" t="s">
        <v>30</v>
      </c>
      <c r="I76" s="1"/>
      <c r="J76" s="1"/>
      <c r="K76" s="31"/>
    </row>
    <row r="77" spans="1:11" hidden="1">
      <c r="A77" s="3"/>
      <c r="B77" s="4" t="s">
        <v>31</v>
      </c>
      <c r="C77" s="4"/>
      <c r="D77" s="4" t="b">
        <v>0</v>
      </c>
      <c r="E77" s="4" t="b">
        <v>1</v>
      </c>
      <c r="F77" s="7" t="s">
        <v>32</v>
      </c>
      <c r="G77" s="7"/>
      <c r="H77" s="7"/>
      <c r="I77" s="7"/>
      <c r="J77" s="7"/>
      <c r="K77" s="7"/>
    </row>
    <row r="78" spans="1:11">
      <c r="A78" s="5" t="b">
        <v>1</v>
      </c>
      <c r="B78" s="6" t="s">
        <v>33</v>
      </c>
      <c r="C78" s="6"/>
      <c r="D78" s="6" t="b">
        <v>0</v>
      </c>
      <c r="E78" s="6" t="b">
        <v>1</v>
      </c>
      <c r="F78" s="1" t="s">
        <v>1303</v>
      </c>
      <c r="G78" s="248" t="s">
        <v>1304</v>
      </c>
      <c r="H78" s="31" t="s">
        <v>1305</v>
      </c>
      <c r="I78" s="1" t="s">
        <v>1129</v>
      </c>
      <c r="J78" s="41" t="s">
        <v>127</v>
      </c>
      <c r="K78" s="31"/>
    </row>
    <row r="79" spans="1:11">
      <c r="A79" s="5" t="b">
        <v>0</v>
      </c>
      <c r="B79" s="6" t="s">
        <v>35</v>
      </c>
      <c r="C79" s="6"/>
      <c r="D79" s="6" t="b">
        <v>0</v>
      </c>
      <c r="E79" s="6" t="b">
        <v>1</v>
      </c>
      <c r="F79" s="1" t="s">
        <v>1306</v>
      </c>
      <c r="G79" s="249" t="s">
        <v>1342</v>
      </c>
      <c r="H79" s="31" t="s">
        <v>1308</v>
      </c>
      <c r="I79" s="1" t="s">
        <v>1129</v>
      </c>
      <c r="J79" s="41" t="s">
        <v>127</v>
      </c>
      <c r="K79" s="31"/>
    </row>
    <row r="80" spans="1:11">
      <c r="A80" s="5" t="b">
        <v>0</v>
      </c>
      <c r="B80" s="6" t="s">
        <v>35</v>
      </c>
      <c r="C80" s="6"/>
      <c r="D80" s="6" t="b">
        <v>0</v>
      </c>
      <c r="E80" s="6" t="b">
        <v>1</v>
      </c>
      <c r="F80" s="1" t="s">
        <v>1309</v>
      </c>
      <c r="G80" s="248" t="s">
        <v>1310</v>
      </c>
      <c r="H80" s="31" t="s">
        <v>1311</v>
      </c>
      <c r="I80" s="1"/>
      <c r="J80" s="41" t="s">
        <v>127</v>
      </c>
      <c r="K80" s="31"/>
    </row>
    <row r="81" spans="1:11">
      <c r="A81" s="5" t="b">
        <v>0</v>
      </c>
      <c r="B81" s="6" t="s">
        <v>35</v>
      </c>
      <c r="C81" s="6"/>
      <c r="D81" s="6" t="b">
        <v>0</v>
      </c>
      <c r="E81" s="6" t="b">
        <v>1</v>
      </c>
      <c r="F81" s="1" t="s">
        <v>1312</v>
      </c>
      <c r="G81" s="248" t="s">
        <v>1313</v>
      </c>
      <c r="H81" s="31" t="s">
        <v>1313</v>
      </c>
      <c r="I81" s="1" t="s">
        <v>1129</v>
      </c>
      <c r="J81" s="41" t="s">
        <v>127</v>
      </c>
      <c r="K81" s="31"/>
    </row>
    <row r="82" spans="1:11">
      <c r="A82" s="5" t="b">
        <v>0</v>
      </c>
      <c r="B82" s="6" t="s">
        <v>35</v>
      </c>
      <c r="C82" s="6"/>
      <c r="D82" s="6" t="b">
        <v>0</v>
      </c>
      <c r="E82" s="6" t="b">
        <v>1</v>
      </c>
      <c r="F82" s="1" t="s">
        <v>1314</v>
      </c>
      <c r="G82" s="249" t="s">
        <v>1315</v>
      </c>
      <c r="H82" s="31" t="s">
        <v>1315</v>
      </c>
      <c r="I82" s="1" t="s">
        <v>1129</v>
      </c>
      <c r="J82" s="41" t="s">
        <v>127</v>
      </c>
      <c r="K82" s="31"/>
    </row>
    <row r="83" spans="1:11">
      <c r="A83" s="5" t="b">
        <v>0</v>
      </c>
      <c r="B83" s="6" t="s">
        <v>35</v>
      </c>
      <c r="C83" s="6"/>
      <c r="D83" s="6" t="b">
        <v>0</v>
      </c>
      <c r="E83" s="6" t="b">
        <v>1</v>
      </c>
      <c r="F83" s="1" t="s">
        <v>1202</v>
      </c>
      <c r="G83" s="249" t="s">
        <v>1316</v>
      </c>
      <c r="H83" s="31" t="s">
        <v>1317</v>
      </c>
      <c r="I83" s="1" t="s">
        <v>1129</v>
      </c>
      <c r="J83" s="41" t="s">
        <v>127</v>
      </c>
      <c r="K83" s="31"/>
    </row>
    <row r="84" spans="1:11">
      <c r="A84" s="5" t="b">
        <v>0</v>
      </c>
      <c r="B84" s="6" t="s">
        <v>35</v>
      </c>
      <c r="C84" s="6"/>
      <c r="D84" s="6" t="b">
        <v>0</v>
      </c>
      <c r="E84" s="6" t="b">
        <v>1</v>
      </c>
      <c r="F84" s="1" t="s">
        <v>1213</v>
      </c>
      <c r="G84" s="248" t="s">
        <v>1318</v>
      </c>
      <c r="H84" s="31" t="s">
        <v>1319</v>
      </c>
      <c r="I84" s="1" t="s">
        <v>1129</v>
      </c>
      <c r="J84" s="41" t="s">
        <v>127</v>
      </c>
      <c r="K84" s="31"/>
    </row>
    <row r="85" spans="1:11" ht="29">
      <c r="A85" s="5" t="b">
        <v>0</v>
      </c>
      <c r="B85" s="6" t="s">
        <v>35</v>
      </c>
      <c r="C85" s="6"/>
      <c r="D85" s="6" t="b">
        <v>0</v>
      </c>
      <c r="E85" s="6" t="b">
        <v>1</v>
      </c>
      <c r="F85" s="22" t="s">
        <v>1320</v>
      </c>
      <c r="G85" s="40" t="s">
        <v>1343</v>
      </c>
      <c r="H85" s="31" t="s">
        <v>1322</v>
      </c>
      <c r="I85" s="1" t="s">
        <v>1129</v>
      </c>
      <c r="J85" s="41" t="s">
        <v>127</v>
      </c>
      <c r="K85" s="31"/>
    </row>
    <row r="86" spans="1:11" ht="29">
      <c r="A86" s="5" t="b">
        <v>0</v>
      </c>
      <c r="B86" s="6" t="s">
        <v>35</v>
      </c>
      <c r="C86" s="6"/>
      <c r="D86" s="6" t="b">
        <v>0</v>
      </c>
      <c r="E86" s="6" t="b">
        <v>1</v>
      </c>
      <c r="F86" s="22" t="s">
        <v>1323</v>
      </c>
      <c r="G86" s="40" t="s">
        <v>1344</v>
      </c>
      <c r="H86" s="36" t="s">
        <v>1325</v>
      </c>
      <c r="I86" s="1" t="s">
        <v>1129</v>
      </c>
      <c r="J86" s="41" t="s">
        <v>127</v>
      </c>
      <c r="K86" s="31"/>
    </row>
    <row r="87" spans="1:11">
      <c r="A87" s="5" t="b">
        <v>0</v>
      </c>
      <c r="B87" s="6" t="s">
        <v>35</v>
      </c>
      <c r="C87" s="6"/>
      <c r="D87" s="6" t="b">
        <v>0</v>
      </c>
      <c r="E87" s="6" t="b">
        <v>1</v>
      </c>
      <c r="F87" s="1" t="s">
        <v>1326</v>
      </c>
      <c r="G87" s="250">
        <v>500118192</v>
      </c>
      <c r="H87" s="37">
        <v>500118192</v>
      </c>
      <c r="I87" s="1" t="s">
        <v>1129</v>
      </c>
      <c r="J87" s="41" t="s">
        <v>127</v>
      </c>
      <c r="K87" s="31"/>
    </row>
    <row r="88" spans="1:11">
      <c r="A88" s="5" t="b">
        <v>0</v>
      </c>
      <c r="B88" s="6" t="s">
        <v>35</v>
      </c>
      <c r="C88" s="6"/>
      <c r="D88" s="6" t="b">
        <v>0</v>
      </c>
      <c r="E88" s="6" t="b">
        <v>1</v>
      </c>
      <c r="F88" s="22" t="s">
        <v>1327</v>
      </c>
      <c r="G88" s="248" t="s">
        <v>1328</v>
      </c>
      <c r="H88" s="37" t="s">
        <v>1328</v>
      </c>
      <c r="I88" s="1" t="s">
        <v>1129</v>
      </c>
      <c r="J88" s="41" t="s">
        <v>127</v>
      </c>
      <c r="K88" s="31"/>
    </row>
    <row r="89" spans="1:11">
      <c r="A89" s="5" t="b">
        <v>0</v>
      </c>
      <c r="B89" s="6" t="s">
        <v>35</v>
      </c>
      <c r="C89" s="6"/>
      <c r="D89" s="6" t="b">
        <v>0</v>
      </c>
      <c r="E89" s="6" t="b">
        <v>1</v>
      </c>
      <c r="F89" s="1" t="s">
        <v>59</v>
      </c>
      <c r="G89" s="191" t="s">
        <v>1345</v>
      </c>
      <c r="H89" s="31" t="s">
        <v>1330</v>
      </c>
      <c r="I89" s="1" t="s">
        <v>1129</v>
      </c>
      <c r="J89" s="41" t="s">
        <v>127</v>
      </c>
      <c r="K89" s="31"/>
    </row>
    <row r="90" spans="1:11">
      <c r="A90" s="7" t="b">
        <v>0</v>
      </c>
      <c r="B90" s="7" t="s">
        <v>35</v>
      </c>
      <c r="C90" s="7"/>
      <c r="D90" s="7"/>
      <c r="E90" s="7"/>
      <c r="F90" s="7" t="s">
        <v>37</v>
      </c>
      <c r="G90" s="7"/>
      <c r="H90" s="4"/>
      <c r="I90" s="4"/>
      <c r="J90" s="4"/>
      <c r="K90" s="4"/>
    </row>
    <row r="91" spans="1:11" ht="43.5">
      <c r="A91" s="5" t="b">
        <v>0</v>
      </c>
      <c r="B91" s="6" t="s">
        <v>35</v>
      </c>
      <c r="C91" s="6"/>
      <c r="D91" s="6" t="b">
        <v>0</v>
      </c>
      <c r="E91" s="6" t="b">
        <v>1</v>
      </c>
      <c r="F91" s="1"/>
      <c r="G91" s="94"/>
      <c r="H91" s="35"/>
      <c r="I91" s="1" t="s">
        <v>1129</v>
      </c>
      <c r="J91" s="41" t="s">
        <v>20</v>
      </c>
      <c r="K91" s="82" t="s">
        <v>161</v>
      </c>
    </row>
    <row r="92" spans="1:11" ht="29">
      <c r="A92" s="8" t="s">
        <v>4</v>
      </c>
      <c r="B92" s="8" t="s">
        <v>5</v>
      </c>
      <c r="C92" s="8" t="s">
        <v>6</v>
      </c>
      <c r="D92" s="8" t="s">
        <v>113</v>
      </c>
      <c r="E92" s="8" t="s">
        <v>114</v>
      </c>
      <c r="F92" s="8" t="s">
        <v>9</v>
      </c>
      <c r="G92" s="8" t="s">
        <v>10</v>
      </c>
      <c r="H92" s="8" t="s">
        <v>11</v>
      </c>
      <c r="I92" s="8" t="s">
        <v>12</v>
      </c>
      <c r="J92" s="29" t="s">
        <v>13</v>
      </c>
      <c r="K92" s="29" t="s">
        <v>14</v>
      </c>
    </row>
    <row r="93" spans="1:11">
      <c r="A93" s="9"/>
      <c r="B93" s="10" t="s">
        <v>15</v>
      </c>
      <c r="C93" s="10"/>
      <c r="D93" s="10" t="b">
        <v>0</v>
      </c>
      <c r="E93" s="10" t="b">
        <v>1</v>
      </c>
      <c r="F93" s="11" t="s">
        <v>1300</v>
      </c>
      <c r="G93" s="11"/>
      <c r="H93" s="11"/>
      <c r="I93" s="11"/>
      <c r="J93" s="11"/>
      <c r="K93" s="11"/>
    </row>
    <row r="94" spans="1:11" ht="29">
      <c r="A94" s="20"/>
      <c r="B94" s="14" t="s">
        <v>17</v>
      </c>
      <c r="C94" s="14"/>
      <c r="D94" s="14" t="b">
        <v>0</v>
      </c>
      <c r="E94" s="14" t="b">
        <v>1</v>
      </c>
      <c r="F94" s="14" t="s">
        <v>18</v>
      </c>
      <c r="G94" s="14" t="s">
        <v>1346</v>
      </c>
      <c r="H94" s="14" t="s">
        <v>1332</v>
      </c>
      <c r="I94" s="14"/>
      <c r="J94" s="41" t="s">
        <v>127</v>
      </c>
      <c r="K94" s="31"/>
    </row>
    <row r="95" spans="1:11" hidden="1">
      <c r="A95" s="5" t="b">
        <v>1</v>
      </c>
      <c r="B95" s="6" t="s">
        <v>21</v>
      </c>
      <c r="C95" s="6"/>
      <c r="D95" s="6" t="b">
        <v>0</v>
      </c>
      <c r="E95" s="6" t="b">
        <v>1</v>
      </c>
      <c r="F95" s="1" t="s">
        <v>22</v>
      </c>
      <c r="G95" s="1"/>
      <c r="H95" s="1" t="s">
        <v>60</v>
      </c>
      <c r="I95" s="1"/>
      <c r="J95" s="1"/>
      <c r="K95" s="31"/>
    </row>
    <row r="96" spans="1:11" hidden="1">
      <c r="A96" s="5" t="b">
        <v>0</v>
      </c>
      <c r="B96" s="6" t="s">
        <v>24</v>
      </c>
      <c r="C96" s="6"/>
      <c r="D96" s="6" t="b">
        <v>0</v>
      </c>
      <c r="E96" s="6" t="b">
        <v>1</v>
      </c>
      <c r="F96" s="1" t="s">
        <v>25</v>
      </c>
      <c r="G96" s="1"/>
      <c r="H96" s="1">
        <v>2</v>
      </c>
      <c r="I96" s="1"/>
      <c r="J96" s="1"/>
      <c r="K96" s="31"/>
    </row>
    <row r="97" spans="1:11" hidden="1">
      <c r="A97" s="5" t="b">
        <v>0</v>
      </c>
      <c r="B97" s="6" t="s">
        <v>26</v>
      </c>
      <c r="C97" s="6"/>
      <c r="D97" s="6" t="b">
        <v>0</v>
      </c>
      <c r="E97" s="6" t="b">
        <v>1</v>
      </c>
      <c r="F97" s="1" t="s">
        <v>27</v>
      </c>
      <c r="G97" s="1"/>
      <c r="H97" s="1"/>
      <c r="I97" s="1"/>
      <c r="J97" s="1"/>
      <c r="K97" s="31"/>
    </row>
    <row r="98" spans="1:11" hidden="1">
      <c r="A98" s="5" t="b">
        <v>1</v>
      </c>
      <c r="B98" s="6" t="s">
        <v>28</v>
      </c>
      <c r="C98" s="6"/>
      <c r="D98" s="6" t="b">
        <v>0</v>
      </c>
      <c r="E98" s="6" t="b">
        <v>1</v>
      </c>
      <c r="F98" s="1" t="s">
        <v>29</v>
      </c>
      <c r="G98" s="1"/>
      <c r="H98" s="1" t="s">
        <v>30</v>
      </c>
      <c r="I98" s="1"/>
      <c r="J98" s="1"/>
      <c r="K98" s="31"/>
    </row>
    <row r="99" spans="1:11" hidden="1">
      <c r="A99" s="3"/>
      <c r="B99" s="4" t="s">
        <v>31</v>
      </c>
      <c r="C99" s="4"/>
      <c r="D99" s="4" t="b">
        <v>0</v>
      </c>
      <c r="E99" s="4" t="b">
        <v>1</v>
      </c>
      <c r="F99" s="7" t="s">
        <v>32</v>
      </c>
      <c r="G99" s="7"/>
      <c r="H99" s="7"/>
      <c r="I99" s="7"/>
      <c r="J99" s="7"/>
      <c r="K99" s="7"/>
    </row>
    <row r="100" spans="1:11">
      <c r="A100" s="5" t="b">
        <v>1</v>
      </c>
      <c r="B100" s="6" t="s">
        <v>33</v>
      </c>
      <c r="C100" s="6"/>
      <c r="D100" s="6" t="b">
        <v>0</v>
      </c>
      <c r="E100" s="6" t="b">
        <v>1</v>
      </c>
      <c r="F100" s="1" t="s">
        <v>1303</v>
      </c>
      <c r="G100" s="248" t="s">
        <v>1304</v>
      </c>
      <c r="H100" s="31" t="s">
        <v>1305</v>
      </c>
      <c r="I100" s="1" t="s">
        <v>1129</v>
      </c>
      <c r="J100" s="41" t="s">
        <v>127</v>
      </c>
      <c r="K100" s="31"/>
    </row>
    <row r="101" spans="1:11">
      <c r="A101" s="5" t="b">
        <v>0</v>
      </c>
      <c r="B101" s="6" t="s">
        <v>35</v>
      </c>
      <c r="C101" s="6"/>
      <c r="D101" s="6" t="b">
        <v>0</v>
      </c>
      <c r="E101" s="6" t="b">
        <v>1</v>
      </c>
      <c r="F101" s="1" t="s">
        <v>1306</v>
      </c>
      <c r="G101" s="249" t="s">
        <v>1307</v>
      </c>
      <c r="H101" s="31" t="s">
        <v>1308</v>
      </c>
      <c r="I101" s="1" t="s">
        <v>1129</v>
      </c>
      <c r="J101" s="41" t="s">
        <v>127</v>
      </c>
      <c r="K101" s="31"/>
    </row>
    <row r="102" spans="1:11">
      <c r="A102" s="5" t="b">
        <v>0</v>
      </c>
      <c r="B102" s="6" t="s">
        <v>35</v>
      </c>
      <c r="C102" s="6"/>
      <c r="D102" s="6" t="b">
        <v>0</v>
      </c>
      <c r="E102" s="6" t="b">
        <v>1</v>
      </c>
      <c r="F102" s="1" t="s">
        <v>1309</v>
      </c>
      <c r="G102" s="248" t="s">
        <v>1310</v>
      </c>
      <c r="H102" s="31" t="s">
        <v>1310</v>
      </c>
      <c r="I102" s="1" t="s">
        <v>1129</v>
      </c>
      <c r="J102" s="41" t="s">
        <v>127</v>
      </c>
      <c r="K102" s="31"/>
    </row>
    <row r="103" spans="1:11">
      <c r="A103" s="5" t="b">
        <v>0</v>
      </c>
      <c r="B103" s="6" t="s">
        <v>35</v>
      </c>
      <c r="C103" s="6"/>
      <c r="D103" s="6" t="b">
        <v>0</v>
      </c>
      <c r="E103" s="6" t="b">
        <v>1</v>
      </c>
      <c r="F103" s="1" t="s">
        <v>1312</v>
      </c>
      <c r="G103" s="248" t="s">
        <v>1313</v>
      </c>
      <c r="H103" s="31" t="s">
        <v>1313</v>
      </c>
      <c r="I103" s="1" t="s">
        <v>1129</v>
      </c>
      <c r="J103" s="41" t="s">
        <v>127</v>
      </c>
      <c r="K103" s="31"/>
    </row>
    <row r="104" spans="1:11">
      <c r="A104" s="5" t="b">
        <v>0</v>
      </c>
      <c r="B104" s="6" t="s">
        <v>35</v>
      </c>
      <c r="C104" s="6"/>
      <c r="D104" s="6" t="b">
        <v>0</v>
      </c>
      <c r="E104" s="6" t="b">
        <v>1</v>
      </c>
      <c r="F104" s="1" t="s">
        <v>1314</v>
      </c>
      <c r="G104" s="249" t="s">
        <v>1315</v>
      </c>
      <c r="H104" s="31" t="s">
        <v>1315</v>
      </c>
      <c r="I104" s="1" t="s">
        <v>1129</v>
      </c>
      <c r="J104" s="41" t="s">
        <v>127</v>
      </c>
      <c r="K104" s="31"/>
    </row>
    <row r="105" spans="1:11">
      <c r="A105" s="5" t="b">
        <v>0</v>
      </c>
      <c r="B105" s="6" t="s">
        <v>35</v>
      </c>
      <c r="C105" s="6"/>
      <c r="D105" s="6" t="b">
        <v>0</v>
      </c>
      <c r="E105" s="6" t="b">
        <v>1</v>
      </c>
      <c r="F105" s="1" t="s">
        <v>1202</v>
      </c>
      <c r="G105" s="249" t="s">
        <v>1316</v>
      </c>
      <c r="H105" s="31" t="s">
        <v>1317</v>
      </c>
      <c r="I105" s="1" t="s">
        <v>1129</v>
      </c>
      <c r="J105" s="41" t="s">
        <v>127</v>
      </c>
      <c r="K105" s="31"/>
    </row>
    <row r="106" spans="1:11">
      <c r="A106" s="5" t="b">
        <v>0</v>
      </c>
      <c r="B106" s="6" t="s">
        <v>35</v>
      </c>
      <c r="C106" s="6"/>
      <c r="D106" s="6" t="b">
        <v>0</v>
      </c>
      <c r="E106" s="6" t="b">
        <v>1</v>
      </c>
      <c r="F106" s="1" t="s">
        <v>1213</v>
      </c>
      <c r="G106" s="248" t="s">
        <v>1318</v>
      </c>
      <c r="H106" s="31" t="s">
        <v>1319</v>
      </c>
      <c r="I106" s="1" t="s">
        <v>1129</v>
      </c>
      <c r="J106" s="41" t="s">
        <v>127</v>
      </c>
      <c r="K106" s="31"/>
    </row>
    <row r="107" spans="1:11" ht="29">
      <c r="A107" s="5" t="b">
        <v>0</v>
      </c>
      <c r="B107" s="6" t="s">
        <v>35</v>
      </c>
      <c r="C107" s="6"/>
      <c r="D107" s="6" t="b">
        <v>0</v>
      </c>
      <c r="E107" s="6" t="b">
        <v>1</v>
      </c>
      <c r="F107" s="22" t="s">
        <v>1320</v>
      </c>
      <c r="G107" s="40" t="s">
        <v>1321</v>
      </c>
      <c r="H107" s="31" t="s">
        <v>1322</v>
      </c>
      <c r="I107" s="1" t="s">
        <v>1129</v>
      </c>
      <c r="J107" s="41" t="s">
        <v>127</v>
      </c>
      <c r="K107" s="31"/>
    </row>
    <row r="108" spans="1:11" ht="29">
      <c r="A108" s="5" t="b">
        <v>0</v>
      </c>
      <c r="B108" s="6" t="s">
        <v>35</v>
      </c>
      <c r="C108" s="6"/>
      <c r="D108" s="6" t="b">
        <v>0</v>
      </c>
      <c r="E108" s="6" t="b">
        <v>1</v>
      </c>
      <c r="F108" s="22" t="s">
        <v>1323</v>
      </c>
      <c r="G108" s="40" t="s">
        <v>1324</v>
      </c>
      <c r="H108" s="36" t="s">
        <v>1325</v>
      </c>
      <c r="I108" s="1" t="s">
        <v>1129</v>
      </c>
      <c r="J108" s="41" t="s">
        <v>127</v>
      </c>
      <c r="K108" s="31"/>
    </row>
    <row r="109" spans="1:11">
      <c r="A109" s="5" t="b">
        <v>0</v>
      </c>
      <c r="B109" s="6" t="s">
        <v>35</v>
      </c>
      <c r="C109" s="6"/>
      <c r="D109" s="6" t="b">
        <v>0</v>
      </c>
      <c r="E109" s="6" t="b">
        <v>1</v>
      </c>
      <c r="F109" s="1" t="s">
        <v>1326</v>
      </c>
      <c r="G109" s="250">
        <v>1000215215</v>
      </c>
      <c r="H109" s="37">
        <v>500118192</v>
      </c>
      <c r="I109" s="1" t="s">
        <v>1129</v>
      </c>
      <c r="J109" s="41" t="s">
        <v>127</v>
      </c>
      <c r="K109" s="31"/>
    </row>
    <row r="110" spans="1:11">
      <c r="A110" s="5" t="b">
        <v>0</v>
      </c>
      <c r="B110" s="6" t="s">
        <v>35</v>
      </c>
      <c r="C110" s="6"/>
      <c r="D110" s="6" t="b">
        <v>0</v>
      </c>
      <c r="E110" s="6" t="b">
        <v>1</v>
      </c>
      <c r="F110" s="22" t="s">
        <v>1327</v>
      </c>
      <c r="G110" s="248" t="s">
        <v>1328</v>
      </c>
      <c r="H110" s="37" t="s">
        <v>1328</v>
      </c>
      <c r="I110" s="1" t="s">
        <v>1129</v>
      </c>
      <c r="J110" s="41" t="s">
        <v>127</v>
      </c>
      <c r="K110" s="31"/>
    </row>
    <row r="111" spans="1:11">
      <c r="A111" s="5" t="b">
        <v>0</v>
      </c>
      <c r="B111" s="6" t="s">
        <v>35</v>
      </c>
      <c r="C111" s="6"/>
      <c r="D111" s="6" t="b">
        <v>0</v>
      </c>
      <c r="E111" s="6" t="b">
        <v>1</v>
      </c>
      <c r="F111" s="1" t="s">
        <v>59</v>
      </c>
      <c r="G111" s="191" t="s">
        <v>1345</v>
      </c>
      <c r="H111" s="31" t="s">
        <v>1330</v>
      </c>
      <c r="I111" s="1" t="s">
        <v>1129</v>
      </c>
      <c r="J111" s="41" t="s">
        <v>127</v>
      </c>
      <c r="K111" s="31"/>
    </row>
    <row r="112" spans="1:11">
      <c r="A112" s="7" t="b">
        <v>0</v>
      </c>
      <c r="B112" s="7" t="s">
        <v>35</v>
      </c>
      <c r="C112" s="7"/>
      <c r="D112" s="7"/>
      <c r="E112" s="7"/>
      <c r="F112" s="7" t="s">
        <v>37</v>
      </c>
      <c r="G112" s="7"/>
      <c r="H112" s="4"/>
      <c r="I112" s="4"/>
      <c r="J112" s="4"/>
      <c r="K112" s="4"/>
    </row>
    <row r="113" spans="1:11" ht="43.5">
      <c r="A113" s="5" t="b">
        <v>0</v>
      </c>
      <c r="B113" s="6" t="s">
        <v>35</v>
      </c>
      <c r="C113" s="6"/>
      <c r="D113" s="6" t="b">
        <v>0</v>
      </c>
      <c r="E113" s="6" t="b">
        <v>1</v>
      </c>
      <c r="F113" s="1"/>
      <c r="G113" s="94"/>
      <c r="H113" s="35"/>
      <c r="I113" s="1" t="s">
        <v>1129</v>
      </c>
      <c r="J113" s="41" t="s">
        <v>20</v>
      </c>
      <c r="K113" s="82" t="s">
        <v>161</v>
      </c>
    </row>
    <row r="114" spans="1:11" ht="29">
      <c r="A114" s="8" t="s">
        <v>4</v>
      </c>
      <c r="B114" s="8" t="s">
        <v>5</v>
      </c>
      <c r="C114" s="8" t="s">
        <v>6</v>
      </c>
      <c r="D114" s="8" t="s">
        <v>113</v>
      </c>
      <c r="E114" s="8" t="s">
        <v>114</v>
      </c>
      <c r="F114" s="8" t="s">
        <v>9</v>
      </c>
      <c r="G114" s="8" t="s">
        <v>10</v>
      </c>
      <c r="H114" s="8" t="s">
        <v>11</v>
      </c>
      <c r="I114" s="8" t="s">
        <v>12</v>
      </c>
      <c r="J114" s="29" t="s">
        <v>13</v>
      </c>
      <c r="K114" s="29" t="s">
        <v>14</v>
      </c>
    </row>
    <row r="115" spans="1:11">
      <c r="A115" s="9"/>
      <c r="B115" s="10" t="s">
        <v>15</v>
      </c>
      <c r="C115" s="10"/>
      <c r="D115" s="10" t="b">
        <v>0</v>
      </c>
      <c r="E115" s="10" t="b">
        <v>1</v>
      </c>
      <c r="F115" s="11" t="s">
        <v>1300</v>
      </c>
      <c r="G115" s="11"/>
      <c r="H115" s="11"/>
      <c r="I115" s="11"/>
      <c r="J115" s="11"/>
      <c r="K115" s="11"/>
    </row>
    <row r="116" spans="1:11" ht="29">
      <c r="A116" s="20"/>
      <c r="B116" s="14" t="s">
        <v>17</v>
      </c>
      <c r="C116" s="14"/>
      <c r="D116" s="14" t="b">
        <v>0</v>
      </c>
      <c r="E116" s="14" t="b">
        <v>1</v>
      </c>
      <c r="F116" s="14" t="s">
        <v>18</v>
      </c>
      <c r="G116" s="14" t="s">
        <v>1347</v>
      </c>
      <c r="H116" s="14" t="s">
        <v>1336</v>
      </c>
      <c r="I116" s="14"/>
      <c r="J116" s="41" t="s">
        <v>127</v>
      </c>
      <c r="K116" s="31"/>
    </row>
    <row r="117" spans="1:11" hidden="1">
      <c r="A117" s="5" t="b">
        <v>1</v>
      </c>
      <c r="B117" s="6" t="s">
        <v>21</v>
      </c>
      <c r="C117" s="6"/>
      <c r="D117" s="6" t="b">
        <v>0</v>
      </c>
      <c r="E117" s="6" t="b">
        <v>1</v>
      </c>
      <c r="F117" s="1" t="s">
        <v>22</v>
      </c>
      <c r="G117" s="1"/>
      <c r="H117" s="1" t="s">
        <v>60</v>
      </c>
      <c r="I117" s="1"/>
      <c r="J117" s="1"/>
      <c r="K117" s="31"/>
    </row>
    <row r="118" spans="1:11" hidden="1">
      <c r="A118" s="5" t="b">
        <v>0</v>
      </c>
      <c r="B118" s="6" t="s">
        <v>24</v>
      </c>
      <c r="C118" s="6"/>
      <c r="D118" s="6" t="b">
        <v>0</v>
      </c>
      <c r="E118" s="6" t="b">
        <v>1</v>
      </c>
      <c r="F118" s="1" t="s">
        <v>25</v>
      </c>
      <c r="G118" s="1"/>
      <c r="H118" s="1">
        <v>2</v>
      </c>
      <c r="I118" s="1"/>
      <c r="J118" s="1"/>
      <c r="K118" s="31"/>
    </row>
    <row r="119" spans="1:11" hidden="1">
      <c r="A119" s="5" t="b">
        <v>0</v>
      </c>
      <c r="B119" s="6" t="s">
        <v>26</v>
      </c>
      <c r="C119" s="6"/>
      <c r="D119" s="6" t="b">
        <v>0</v>
      </c>
      <c r="E119" s="6" t="b">
        <v>1</v>
      </c>
      <c r="F119" s="1" t="s">
        <v>27</v>
      </c>
      <c r="G119" s="1"/>
      <c r="H119" s="1"/>
      <c r="I119" s="1"/>
      <c r="J119" s="1"/>
      <c r="K119" s="31"/>
    </row>
    <row r="120" spans="1:11" hidden="1">
      <c r="A120" s="5" t="b">
        <v>1</v>
      </c>
      <c r="B120" s="6" t="s">
        <v>28</v>
      </c>
      <c r="C120" s="6"/>
      <c r="D120" s="6" t="b">
        <v>0</v>
      </c>
      <c r="E120" s="6" t="b">
        <v>1</v>
      </c>
      <c r="F120" s="1" t="s">
        <v>29</v>
      </c>
      <c r="G120" s="1"/>
      <c r="H120" s="1" t="s">
        <v>30</v>
      </c>
      <c r="I120" s="1"/>
      <c r="J120" s="1"/>
      <c r="K120" s="31"/>
    </row>
    <row r="121" spans="1:11" hidden="1">
      <c r="A121" s="3"/>
      <c r="B121" s="4" t="s">
        <v>31</v>
      </c>
      <c r="C121" s="4"/>
      <c r="D121" s="4" t="b">
        <v>0</v>
      </c>
      <c r="E121" s="4" t="b">
        <v>1</v>
      </c>
      <c r="F121" s="7" t="s">
        <v>32</v>
      </c>
      <c r="G121" s="7"/>
      <c r="H121" s="7"/>
      <c r="I121" s="7"/>
      <c r="J121" s="7"/>
      <c r="K121" s="7"/>
    </row>
    <row r="122" spans="1:11">
      <c r="A122" s="5" t="b">
        <v>1</v>
      </c>
      <c r="B122" s="6" t="s">
        <v>33</v>
      </c>
      <c r="C122" s="6"/>
      <c r="D122" s="6" t="b">
        <v>0</v>
      </c>
      <c r="E122" s="6" t="b">
        <v>1</v>
      </c>
      <c r="F122" s="1" t="s">
        <v>1303</v>
      </c>
      <c r="G122" s="248" t="s">
        <v>1304</v>
      </c>
      <c r="H122" s="31" t="s">
        <v>1305</v>
      </c>
      <c r="I122" s="1" t="s">
        <v>1129</v>
      </c>
      <c r="J122" s="41" t="s">
        <v>127</v>
      </c>
      <c r="K122" s="31"/>
    </row>
    <row r="123" spans="1:11">
      <c r="A123" s="5" t="b">
        <v>1</v>
      </c>
      <c r="B123" s="6" t="s">
        <v>35</v>
      </c>
      <c r="C123" s="6"/>
      <c r="D123" s="6" t="b">
        <v>0</v>
      </c>
      <c r="E123" s="6" t="b">
        <v>1</v>
      </c>
      <c r="F123" s="1" t="s">
        <v>1306</v>
      </c>
      <c r="G123" s="249" t="s">
        <v>1333</v>
      </c>
      <c r="H123" s="31" t="s">
        <v>1338</v>
      </c>
      <c r="I123" s="1"/>
      <c r="J123" s="41" t="s">
        <v>127</v>
      </c>
      <c r="K123" s="31"/>
    </row>
    <row r="124" spans="1:11">
      <c r="A124" s="5" t="b">
        <v>0</v>
      </c>
      <c r="B124" s="6" t="s">
        <v>35</v>
      </c>
      <c r="C124" s="6"/>
      <c r="D124" s="6" t="b">
        <v>0</v>
      </c>
      <c r="E124" s="6" t="b">
        <v>1</v>
      </c>
      <c r="F124" s="1" t="s">
        <v>1309</v>
      </c>
      <c r="G124" s="248" t="s">
        <v>1310</v>
      </c>
      <c r="H124" s="31" t="s">
        <v>1310</v>
      </c>
      <c r="I124" s="1" t="s">
        <v>1129</v>
      </c>
      <c r="J124" s="41" t="s">
        <v>127</v>
      </c>
      <c r="K124" s="31"/>
    </row>
    <row r="125" spans="1:11">
      <c r="A125" s="5" t="b">
        <v>0</v>
      </c>
      <c r="B125" s="6" t="s">
        <v>35</v>
      </c>
      <c r="C125" s="6"/>
      <c r="D125" s="6" t="b">
        <v>0</v>
      </c>
      <c r="E125" s="6" t="b">
        <v>1</v>
      </c>
      <c r="F125" s="1" t="s">
        <v>1312</v>
      </c>
      <c r="G125" s="248" t="s">
        <v>1313</v>
      </c>
      <c r="H125" s="35" t="s">
        <v>1313</v>
      </c>
      <c r="I125" s="1"/>
      <c r="J125" s="41" t="s">
        <v>127</v>
      </c>
      <c r="K125" s="31"/>
    </row>
    <row r="126" spans="1:11">
      <c r="A126" s="5" t="b">
        <v>0</v>
      </c>
      <c r="B126" s="6" t="s">
        <v>35</v>
      </c>
      <c r="C126" s="6"/>
      <c r="D126" s="6" t="b">
        <v>0</v>
      </c>
      <c r="E126" s="6" t="b">
        <v>1</v>
      </c>
      <c r="F126" s="1" t="s">
        <v>1314</v>
      </c>
      <c r="G126" s="249" t="s">
        <v>1315</v>
      </c>
      <c r="H126" s="35" t="s">
        <v>1315</v>
      </c>
      <c r="I126" s="1" t="s">
        <v>1129</v>
      </c>
      <c r="J126" s="41" t="s">
        <v>127</v>
      </c>
      <c r="K126" s="31"/>
    </row>
    <row r="127" spans="1:11">
      <c r="A127" s="5" t="b">
        <v>0</v>
      </c>
      <c r="B127" s="6" t="s">
        <v>35</v>
      </c>
      <c r="C127" s="6"/>
      <c r="D127" s="6" t="b">
        <v>0</v>
      </c>
      <c r="E127" s="6" t="b">
        <v>1</v>
      </c>
      <c r="F127" s="1" t="s">
        <v>1202</v>
      </c>
      <c r="G127" s="249" t="s">
        <v>1316</v>
      </c>
      <c r="H127" s="31" t="s">
        <v>1317</v>
      </c>
      <c r="I127" s="1" t="s">
        <v>1129</v>
      </c>
      <c r="J127" s="41" t="s">
        <v>127</v>
      </c>
      <c r="K127" s="31"/>
    </row>
    <row r="128" spans="1:11">
      <c r="A128" s="5" t="b">
        <v>0</v>
      </c>
      <c r="B128" s="6" t="s">
        <v>35</v>
      </c>
      <c r="C128" s="6"/>
      <c r="D128" s="6" t="b">
        <v>0</v>
      </c>
      <c r="E128" s="6" t="b">
        <v>1</v>
      </c>
      <c r="F128" s="1" t="s">
        <v>1213</v>
      </c>
      <c r="G128" s="248" t="s">
        <v>1318</v>
      </c>
      <c r="H128" s="31" t="s">
        <v>1319</v>
      </c>
      <c r="I128" s="1" t="s">
        <v>1129</v>
      </c>
      <c r="J128" s="41" t="s">
        <v>127</v>
      </c>
      <c r="K128" s="31"/>
    </row>
    <row r="129" spans="1:11" ht="29">
      <c r="A129" s="5" t="b">
        <v>0</v>
      </c>
      <c r="B129" s="6" t="s">
        <v>35</v>
      </c>
      <c r="C129" s="6"/>
      <c r="D129" s="6" t="b">
        <v>0</v>
      </c>
      <c r="E129" s="6" t="b">
        <v>1</v>
      </c>
      <c r="F129" s="22" t="s">
        <v>1320</v>
      </c>
      <c r="G129" s="40" t="s">
        <v>1321</v>
      </c>
      <c r="H129" s="31" t="s">
        <v>1339</v>
      </c>
      <c r="I129" s="1" t="s">
        <v>1129</v>
      </c>
      <c r="J129" s="41" t="s">
        <v>127</v>
      </c>
      <c r="K129" s="31"/>
    </row>
    <row r="130" spans="1:11" ht="29">
      <c r="A130" s="5" t="b">
        <v>0</v>
      </c>
      <c r="B130" s="6" t="s">
        <v>35</v>
      </c>
      <c r="C130" s="6"/>
      <c r="D130" s="6" t="b">
        <v>0</v>
      </c>
      <c r="E130" s="6" t="b">
        <v>1</v>
      </c>
      <c r="F130" s="22" t="s">
        <v>1323</v>
      </c>
      <c r="G130" s="40" t="s">
        <v>1334</v>
      </c>
      <c r="H130" s="36" t="s">
        <v>1340</v>
      </c>
      <c r="I130" s="1" t="s">
        <v>1129</v>
      </c>
      <c r="J130" s="41" t="s">
        <v>127</v>
      </c>
      <c r="K130" s="31"/>
    </row>
    <row r="131" spans="1:11">
      <c r="A131" s="5" t="b">
        <v>0</v>
      </c>
      <c r="B131" s="6" t="s">
        <v>35</v>
      </c>
      <c r="C131" s="6"/>
      <c r="D131" s="6" t="b">
        <v>0</v>
      </c>
      <c r="E131" s="6" t="b">
        <v>1</v>
      </c>
      <c r="F131" s="1" t="s">
        <v>1326</v>
      </c>
      <c r="G131" s="250">
        <v>2000409264</v>
      </c>
      <c r="H131" s="37">
        <v>250069680</v>
      </c>
      <c r="I131" s="1" t="s">
        <v>1129</v>
      </c>
      <c r="J131" s="41" t="s">
        <v>127</v>
      </c>
      <c r="K131" s="31"/>
    </row>
    <row r="132" spans="1:11">
      <c r="A132" s="5" t="b">
        <v>0</v>
      </c>
      <c r="B132" s="6" t="s">
        <v>35</v>
      </c>
      <c r="C132" s="6"/>
      <c r="D132" s="6" t="b">
        <v>0</v>
      </c>
      <c r="E132" s="6" t="b">
        <v>1</v>
      </c>
      <c r="F132" s="22" t="s">
        <v>1327</v>
      </c>
      <c r="G132" s="248" t="s">
        <v>1328</v>
      </c>
      <c r="H132" s="37" t="s">
        <v>1328</v>
      </c>
      <c r="I132" s="1" t="s">
        <v>1129</v>
      </c>
      <c r="J132" s="41" t="s">
        <v>127</v>
      </c>
      <c r="K132" s="31"/>
    </row>
    <row r="133" spans="1:11">
      <c r="A133" s="5" t="b">
        <v>0</v>
      </c>
      <c r="B133" s="6" t="s">
        <v>35</v>
      </c>
      <c r="C133" s="6"/>
      <c r="D133" s="6" t="b">
        <v>0</v>
      </c>
      <c r="E133" s="6" t="b">
        <v>1</v>
      </c>
      <c r="F133" s="1" t="s">
        <v>59</v>
      </c>
      <c r="G133" s="191" t="s">
        <v>1345</v>
      </c>
      <c r="H133" s="31" t="s">
        <v>1330</v>
      </c>
      <c r="I133" s="1" t="s">
        <v>1129</v>
      </c>
      <c r="J133" s="41" t="s">
        <v>127</v>
      </c>
      <c r="K133" s="31"/>
    </row>
    <row r="134" spans="1:11">
      <c r="A134" s="7" t="b">
        <v>0</v>
      </c>
      <c r="B134" s="7" t="s">
        <v>35</v>
      </c>
      <c r="C134" s="7"/>
      <c r="D134" s="7"/>
      <c r="E134" s="7"/>
      <c r="F134" s="7" t="s">
        <v>37</v>
      </c>
      <c r="G134" s="7"/>
      <c r="H134" s="4"/>
      <c r="I134" s="4"/>
      <c r="J134" s="4"/>
      <c r="K134" s="4"/>
    </row>
    <row r="135" spans="1:11" ht="43.5">
      <c r="A135" s="5" t="b">
        <v>0</v>
      </c>
      <c r="B135" s="6" t="s">
        <v>35</v>
      </c>
      <c r="C135" s="6"/>
      <c r="D135" s="6" t="b">
        <v>0</v>
      </c>
      <c r="E135" s="6" t="b">
        <v>1</v>
      </c>
      <c r="F135" s="1"/>
      <c r="G135" s="94"/>
      <c r="H135" s="35"/>
      <c r="I135" s="1" t="s">
        <v>1129</v>
      </c>
      <c r="J135" s="41" t="s">
        <v>20</v>
      </c>
      <c r="K135" s="82" t="s">
        <v>161</v>
      </c>
    </row>
    <row r="136" spans="1:11" ht="29">
      <c r="A136" s="8" t="s">
        <v>4</v>
      </c>
      <c r="B136" s="8" t="s">
        <v>5</v>
      </c>
      <c r="C136" s="8" t="s">
        <v>6</v>
      </c>
      <c r="D136" s="8" t="s">
        <v>113</v>
      </c>
      <c r="E136" s="8" t="s">
        <v>114</v>
      </c>
      <c r="F136" s="8" t="s">
        <v>9</v>
      </c>
      <c r="G136" s="8" t="s">
        <v>10</v>
      </c>
      <c r="H136" s="8" t="s">
        <v>11</v>
      </c>
      <c r="I136" s="8" t="s">
        <v>12</v>
      </c>
      <c r="J136" s="29" t="s">
        <v>13</v>
      </c>
      <c r="K136" s="29" t="s">
        <v>14</v>
      </c>
    </row>
    <row r="137" spans="1:11">
      <c r="A137" s="9"/>
      <c r="B137" s="10" t="s">
        <v>15</v>
      </c>
      <c r="C137" s="10"/>
      <c r="D137" s="10" t="b">
        <v>0</v>
      </c>
      <c r="E137" s="10" t="b">
        <v>1</v>
      </c>
      <c r="F137" s="11" t="s">
        <v>1300</v>
      </c>
      <c r="G137" s="11"/>
      <c r="H137" s="11"/>
      <c r="I137" s="11"/>
      <c r="J137" s="11"/>
      <c r="K137" s="11"/>
    </row>
    <row r="138" spans="1:11" ht="29">
      <c r="A138" s="20"/>
      <c r="B138" s="14" t="s">
        <v>17</v>
      </c>
      <c r="C138" s="14"/>
      <c r="D138" s="14" t="b">
        <v>0</v>
      </c>
      <c r="E138" s="14" t="b">
        <v>1</v>
      </c>
      <c r="F138" s="14" t="s">
        <v>18</v>
      </c>
      <c r="G138" s="14" t="s">
        <v>1348</v>
      </c>
      <c r="H138" s="14" t="s">
        <v>1302</v>
      </c>
      <c r="I138" s="14"/>
      <c r="J138" s="41" t="s">
        <v>127</v>
      </c>
      <c r="K138" s="31"/>
    </row>
    <row r="139" spans="1:11" hidden="1">
      <c r="A139" s="5" t="b">
        <v>1</v>
      </c>
      <c r="B139" s="6" t="s">
        <v>21</v>
      </c>
      <c r="C139" s="6"/>
      <c r="D139" s="6" t="b">
        <v>0</v>
      </c>
      <c r="E139" s="6" t="b">
        <v>1</v>
      </c>
      <c r="F139" s="1" t="s">
        <v>22</v>
      </c>
      <c r="G139" s="1"/>
      <c r="H139" s="1" t="s">
        <v>60</v>
      </c>
      <c r="I139" s="1"/>
      <c r="J139" s="1"/>
      <c r="K139" s="31"/>
    </row>
    <row r="140" spans="1:11" hidden="1">
      <c r="A140" s="5" t="b">
        <v>0</v>
      </c>
      <c r="B140" s="6" t="s">
        <v>24</v>
      </c>
      <c r="C140" s="6"/>
      <c r="D140" s="6" t="b">
        <v>0</v>
      </c>
      <c r="E140" s="6" t="b">
        <v>1</v>
      </c>
      <c r="F140" s="1" t="s">
        <v>25</v>
      </c>
      <c r="G140" s="1"/>
      <c r="H140" s="1">
        <v>2</v>
      </c>
      <c r="I140" s="1"/>
      <c r="J140" s="1"/>
      <c r="K140" s="31"/>
    </row>
    <row r="141" spans="1:11" hidden="1">
      <c r="A141" s="5" t="b">
        <v>0</v>
      </c>
      <c r="B141" s="6" t="s">
        <v>26</v>
      </c>
      <c r="C141" s="6"/>
      <c r="D141" s="6" t="b">
        <v>0</v>
      </c>
      <c r="E141" s="6" t="b">
        <v>1</v>
      </c>
      <c r="F141" s="1" t="s">
        <v>27</v>
      </c>
      <c r="G141" s="1"/>
      <c r="H141" s="1"/>
      <c r="I141" s="1"/>
      <c r="J141" s="1"/>
      <c r="K141" s="31"/>
    </row>
    <row r="142" spans="1:11" hidden="1">
      <c r="A142" s="5" t="b">
        <v>1</v>
      </c>
      <c r="B142" s="6" t="s">
        <v>28</v>
      </c>
      <c r="C142" s="6"/>
      <c r="D142" s="6" t="b">
        <v>0</v>
      </c>
      <c r="E142" s="6" t="b">
        <v>1</v>
      </c>
      <c r="F142" s="1" t="s">
        <v>29</v>
      </c>
      <c r="G142" s="1"/>
      <c r="H142" s="1" t="s">
        <v>30</v>
      </c>
      <c r="I142" s="1"/>
      <c r="J142" s="1"/>
      <c r="K142" s="31"/>
    </row>
    <row r="143" spans="1:11" hidden="1">
      <c r="A143" s="3"/>
      <c r="B143" s="4" t="s">
        <v>31</v>
      </c>
      <c r="C143" s="4"/>
      <c r="D143" s="4" t="b">
        <v>0</v>
      </c>
      <c r="E143" s="4" t="b">
        <v>1</v>
      </c>
      <c r="F143" s="7" t="s">
        <v>32</v>
      </c>
      <c r="G143" s="251"/>
      <c r="H143" s="7"/>
      <c r="I143" s="7"/>
      <c r="J143" s="7"/>
      <c r="K143" s="7"/>
    </row>
    <row r="144" spans="1:11">
      <c r="A144" s="5" t="b">
        <v>1</v>
      </c>
      <c r="B144" s="6" t="s">
        <v>33</v>
      </c>
      <c r="C144" s="6"/>
      <c r="D144" s="6" t="b">
        <v>0</v>
      </c>
      <c r="E144" s="6" t="b">
        <v>1</v>
      </c>
      <c r="F144" s="1" t="s">
        <v>1303</v>
      </c>
      <c r="G144" s="252" t="s">
        <v>1305</v>
      </c>
      <c r="H144" s="31" t="s">
        <v>1305</v>
      </c>
      <c r="I144" s="1" t="s">
        <v>1129</v>
      </c>
      <c r="J144" s="41" t="s">
        <v>127</v>
      </c>
      <c r="K144" s="31"/>
    </row>
    <row r="145" spans="1:11">
      <c r="A145" s="5" t="b">
        <v>0</v>
      </c>
      <c r="B145" s="6" t="s">
        <v>35</v>
      </c>
      <c r="C145" s="6"/>
      <c r="D145" s="6" t="b">
        <v>0</v>
      </c>
      <c r="E145" s="6" t="b">
        <v>1</v>
      </c>
      <c r="F145" s="1" t="s">
        <v>1306</v>
      </c>
      <c r="G145" s="252" t="s">
        <v>1308</v>
      </c>
      <c r="H145" s="31" t="s">
        <v>1308</v>
      </c>
      <c r="I145" s="1" t="s">
        <v>1129</v>
      </c>
      <c r="J145" s="41" t="s">
        <v>127</v>
      </c>
      <c r="K145" s="31"/>
    </row>
    <row r="146" spans="1:11">
      <c r="A146" s="5" t="b">
        <v>0</v>
      </c>
      <c r="B146" s="6" t="s">
        <v>35</v>
      </c>
      <c r="C146" s="6"/>
      <c r="D146" s="6" t="b">
        <v>0</v>
      </c>
      <c r="E146" s="6" t="b">
        <v>1</v>
      </c>
      <c r="F146" s="1" t="s">
        <v>1309</v>
      </c>
      <c r="G146" s="252" t="s">
        <v>1310</v>
      </c>
      <c r="H146" s="31" t="s">
        <v>1311</v>
      </c>
      <c r="I146" s="1"/>
      <c r="J146" s="41" t="s">
        <v>127</v>
      </c>
      <c r="K146" s="31"/>
    </row>
    <row r="147" spans="1:11">
      <c r="A147" s="5" t="b">
        <v>0</v>
      </c>
      <c r="B147" s="6" t="s">
        <v>35</v>
      </c>
      <c r="C147" s="6"/>
      <c r="D147" s="6" t="b">
        <v>0</v>
      </c>
      <c r="E147" s="6" t="b">
        <v>1</v>
      </c>
      <c r="F147" s="1" t="s">
        <v>1312</v>
      </c>
      <c r="G147" s="252" t="s">
        <v>1313</v>
      </c>
      <c r="H147" s="31" t="s">
        <v>1313</v>
      </c>
      <c r="I147" s="1" t="s">
        <v>1129</v>
      </c>
      <c r="J147" s="41" t="s">
        <v>127</v>
      </c>
      <c r="K147" s="31"/>
    </row>
    <row r="148" spans="1:11">
      <c r="A148" s="5" t="b">
        <v>0</v>
      </c>
      <c r="B148" s="6" t="s">
        <v>35</v>
      </c>
      <c r="C148" s="6"/>
      <c r="D148" s="6" t="b">
        <v>0</v>
      </c>
      <c r="E148" s="6" t="b">
        <v>1</v>
      </c>
      <c r="F148" s="1" t="s">
        <v>1314</v>
      </c>
      <c r="G148" s="252" t="s">
        <v>1315</v>
      </c>
      <c r="H148" s="31" t="s">
        <v>1315</v>
      </c>
      <c r="I148" s="1" t="s">
        <v>1129</v>
      </c>
      <c r="J148" s="41" t="s">
        <v>127</v>
      </c>
      <c r="K148" s="31"/>
    </row>
    <row r="149" spans="1:11">
      <c r="A149" s="5" t="b">
        <v>0</v>
      </c>
      <c r="B149" s="6" t="s">
        <v>35</v>
      </c>
      <c r="C149" s="6"/>
      <c r="D149" s="6" t="b">
        <v>0</v>
      </c>
      <c r="E149" s="6" t="b">
        <v>1</v>
      </c>
      <c r="F149" s="1" t="s">
        <v>1202</v>
      </c>
      <c r="G149" s="252" t="s">
        <v>1316</v>
      </c>
      <c r="H149" s="31" t="s">
        <v>1317</v>
      </c>
      <c r="I149" s="1" t="s">
        <v>1129</v>
      </c>
      <c r="J149" s="41" t="s">
        <v>127</v>
      </c>
      <c r="K149" s="31"/>
    </row>
    <row r="150" spans="1:11">
      <c r="A150" s="5" t="b">
        <v>0</v>
      </c>
      <c r="B150" s="6" t="s">
        <v>35</v>
      </c>
      <c r="C150" s="6"/>
      <c r="D150" s="6" t="b">
        <v>0</v>
      </c>
      <c r="E150" s="6" t="b">
        <v>1</v>
      </c>
      <c r="F150" s="1" t="s">
        <v>1213</v>
      </c>
      <c r="G150" s="252" t="s">
        <v>1318</v>
      </c>
      <c r="H150" s="31" t="s">
        <v>1319</v>
      </c>
      <c r="I150" s="1" t="s">
        <v>1129</v>
      </c>
      <c r="J150" s="41" t="s">
        <v>127</v>
      </c>
      <c r="K150" s="31"/>
    </row>
    <row r="151" spans="1:11" ht="29">
      <c r="A151" s="5" t="b">
        <v>0</v>
      </c>
      <c r="B151" s="6" t="s">
        <v>35</v>
      </c>
      <c r="C151" s="6"/>
      <c r="D151" s="6" t="b">
        <v>0</v>
      </c>
      <c r="E151" s="6" t="b">
        <v>1</v>
      </c>
      <c r="F151" s="22" t="s">
        <v>1320</v>
      </c>
      <c r="G151" s="40" t="s">
        <v>1343</v>
      </c>
      <c r="H151" s="31" t="s">
        <v>1322</v>
      </c>
      <c r="I151" s="1" t="s">
        <v>1129</v>
      </c>
      <c r="J151" s="41" t="s">
        <v>127</v>
      </c>
      <c r="K151" s="31"/>
    </row>
    <row r="152" spans="1:11" ht="29">
      <c r="A152" s="5" t="b">
        <v>0</v>
      </c>
      <c r="B152" s="6" t="s">
        <v>35</v>
      </c>
      <c r="C152" s="6"/>
      <c r="D152" s="6" t="b">
        <v>0</v>
      </c>
      <c r="E152" s="6" t="b">
        <v>1</v>
      </c>
      <c r="F152" s="22" t="s">
        <v>1323</v>
      </c>
      <c r="G152" s="40" t="s">
        <v>1344</v>
      </c>
      <c r="H152" s="36" t="s">
        <v>1325</v>
      </c>
      <c r="I152" s="1" t="s">
        <v>1129</v>
      </c>
      <c r="J152" s="41" t="s">
        <v>127</v>
      </c>
      <c r="K152" s="31"/>
    </row>
    <row r="153" spans="1:11">
      <c r="A153" s="5" t="b">
        <v>0</v>
      </c>
      <c r="B153" s="6" t="s">
        <v>35</v>
      </c>
      <c r="C153" s="6"/>
      <c r="D153" s="6" t="b">
        <v>0</v>
      </c>
      <c r="E153" s="6" t="b">
        <v>1</v>
      </c>
      <c r="F153" s="1" t="s">
        <v>1326</v>
      </c>
      <c r="G153" s="253">
        <v>500118192</v>
      </c>
      <c r="H153" s="37">
        <v>500118192</v>
      </c>
      <c r="I153" s="1" t="s">
        <v>1129</v>
      </c>
      <c r="J153" s="41" t="s">
        <v>127</v>
      </c>
      <c r="K153" s="31"/>
    </row>
    <row r="154" spans="1:11">
      <c r="A154" s="5" t="b">
        <v>0</v>
      </c>
      <c r="B154" s="6" t="s">
        <v>35</v>
      </c>
      <c r="C154" s="6"/>
      <c r="D154" s="6" t="b">
        <v>0</v>
      </c>
      <c r="E154" s="6" t="b">
        <v>1</v>
      </c>
      <c r="F154" s="22" t="s">
        <v>1327</v>
      </c>
      <c r="G154" s="252" t="s">
        <v>1328</v>
      </c>
      <c r="H154" s="37" t="s">
        <v>1328</v>
      </c>
      <c r="I154" s="1" t="s">
        <v>1129</v>
      </c>
      <c r="J154" s="41" t="s">
        <v>127</v>
      </c>
      <c r="K154" s="31"/>
    </row>
    <row r="155" spans="1:11">
      <c r="A155" s="5" t="b">
        <v>0</v>
      </c>
      <c r="B155" s="6" t="s">
        <v>35</v>
      </c>
      <c r="C155" s="6"/>
      <c r="D155" s="6" t="b">
        <v>0</v>
      </c>
      <c r="E155" s="6" t="b">
        <v>1</v>
      </c>
      <c r="F155" s="1" t="s">
        <v>59</v>
      </c>
      <c r="G155" s="191" t="s">
        <v>1329</v>
      </c>
      <c r="H155" s="31" t="s">
        <v>1330</v>
      </c>
      <c r="I155" s="1" t="s">
        <v>1129</v>
      </c>
      <c r="J155" s="41" t="s">
        <v>127</v>
      </c>
      <c r="K155" s="31"/>
    </row>
    <row r="156" spans="1:11">
      <c r="A156" s="7" t="b">
        <v>0</v>
      </c>
      <c r="B156" s="7" t="s">
        <v>35</v>
      </c>
      <c r="C156" s="7"/>
      <c r="D156" s="7"/>
      <c r="E156" s="7"/>
      <c r="F156" s="7" t="s">
        <v>37</v>
      </c>
      <c r="G156" s="7"/>
      <c r="H156" s="4"/>
      <c r="I156" s="4"/>
      <c r="J156" s="4"/>
      <c r="K156" s="4"/>
    </row>
    <row r="157" spans="1:11" ht="43.5">
      <c r="A157" s="5" t="b">
        <v>0</v>
      </c>
      <c r="B157" s="6" t="s">
        <v>35</v>
      </c>
      <c r="C157" s="6"/>
      <c r="D157" s="6" t="b">
        <v>0</v>
      </c>
      <c r="E157" s="6" t="b">
        <v>1</v>
      </c>
      <c r="F157" s="1"/>
      <c r="G157" s="94"/>
      <c r="H157" s="35"/>
      <c r="I157" s="1" t="s">
        <v>1129</v>
      </c>
      <c r="J157" s="41" t="s">
        <v>20</v>
      </c>
      <c r="K157" s="82" t="s">
        <v>161</v>
      </c>
    </row>
    <row r="158" spans="1:11" ht="29">
      <c r="A158" s="8" t="s">
        <v>4</v>
      </c>
      <c r="B158" s="8" t="s">
        <v>5</v>
      </c>
      <c r="C158" s="8" t="s">
        <v>6</v>
      </c>
      <c r="D158" s="8" t="s">
        <v>113</v>
      </c>
      <c r="E158" s="8" t="s">
        <v>114</v>
      </c>
      <c r="F158" s="8" t="s">
        <v>9</v>
      </c>
      <c r="G158" s="8" t="s">
        <v>10</v>
      </c>
      <c r="H158" s="8" t="s">
        <v>11</v>
      </c>
      <c r="I158" s="8" t="s">
        <v>12</v>
      </c>
      <c r="J158" s="29" t="s">
        <v>13</v>
      </c>
      <c r="K158" s="29" t="s">
        <v>14</v>
      </c>
    </row>
    <row r="159" spans="1:11">
      <c r="A159" s="9"/>
      <c r="B159" s="10" t="s">
        <v>15</v>
      </c>
      <c r="C159" s="10"/>
      <c r="D159" s="10" t="b">
        <v>0</v>
      </c>
      <c r="E159" s="10" t="b">
        <v>1</v>
      </c>
      <c r="F159" s="11" t="s">
        <v>1300</v>
      </c>
      <c r="G159" s="11"/>
      <c r="H159" s="11"/>
      <c r="I159" s="11"/>
      <c r="J159" s="11"/>
      <c r="K159" s="11"/>
    </row>
    <row r="160" spans="1:11" ht="29">
      <c r="A160" s="20"/>
      <c r="B160" s="14" t="s">
        <v>17</v>
      </c>
      <c r="C160" s="14"/>
      <c r="D160" s="14" t="b">
        <v>0</v>
      </c>
      <c r="E160" s="14" t="b">
        <v>1</v>
      </c>
      <c r="F160" s="14" t="s">
        <v>18</v>
      </c>
      <c r="G160" s="14" t="s">
        <v>1349</v>
      </c>
      <c r="H160" s="14" t="s">
        <v>1332</v>
      </c>
      <c r="I160" s="14"/>
      <c r="J160" s="41" t="s">
        <v>127</v>
      </c>
      <c r="K160" s="31"/>
    </row>
    <row r="161" spans="1:11" hidden="1">
      <c r="A161" s="5" t="b">
        <v>1</v>
      </c>
      <c r="B161" s="6" t="s">
        <v>21</v>
      </c>
      <c r="C161" s="6"/>
      <c r="D161" s="6" t="b">
        <v>0</v>
      </c>
      <c r="E161" s="6" t="b">
        <v>1</v>
      </c>
      <c r="F161" s="1" t="s">
        <v>22</v>
      </c>
      <c r="G161" s="1"/>
      <c r="H161" s="1" t="s">
        <v>60</v>
      </c>
      <c r="I161" s="1"/>
      <c r="J161" s="1"/>
      <c r="K161" s="31"/>
    </row>
    <row r="162" spans="1:11" hidden="1">
      <c r="A162" s="5" t="b">
        <v>0</v>
      </c>
      <c r="B162" s="6" t="s">
        <v>24</v>
      </c>
      <c r="C162" s="6"/>
      <c r="D162" s="6" t="b">
        <v>0</v>
      </c>
      <c r="E162" s="6" t="b">
        <v>1</v>
      </c>
      <c r="F162" s="1" t="s">
        <v>25</v>
      </c>
      <c r="G162" s="1"/>
      <c r="H162" s="1">
        <v>2</v>
      </c>
      <c r="I162" s="1"/>
      <c r="J162" s="1"/>
      <c r="K162" s="31"/>
    </row>
    <row r="163" spans="1:11" hidden="1">
      <c r="A163" s="5" t="b">
        <v>0</v>
      </c>
      <c r="B163" s="6" t="s">
        <v>26</v>
      </c>
      <c r="C163" s="6"/>
      <c r="D163" s="6" t="b">
        <v>0</v>
      </c>
      <c r="E163" s="6" t="b">
        <v>1</v>
      </c>
      <c r="F163" s="1" t="s">
        <v>27</v>
      </c>
      <c r="G163" s="1"/>
      <c r="H163" s="1"/>
      <c r="I163" s="1"/>
      <c r="J163" s="1"/>
      <c r="K163" s="31"/>
    </row>
    <row r="164" spans="1:11" hidden="1">
      <c r="A164" s="5" t="b">
        <v>1</v>
      </c>
      <c r="B164" s="6" t="s">
        <v>28</v>
      </c>
      <c r="C164" s="6"/>
      <c r="D164" s="6" t="b">
        <v>0</v>
      </c>
      <c r="E164" s="6" t="b">
        <v>1</v>
      </c>
      <c r="F164" s="1" t="s">
        <v>29</v>
      </c>
      <c r="G164" s="1"/>
      <c r="H164" s="1" t="s">
        <v>30</v>
      </c>
      <c r="I164" s="1"/>
      <c r="J164" s="1"/>
      <c r="K164" s="31"/>
    </row>
    <row r="165" spans="1:11" hidden="1">
      <c r="A165" s="3"/>
      <c r="B165" s="4" t="s">
        <v>31</v>
      </c>
      <c r="C165" s="4"/>
      <c r="D165" s="4" t="b">
        <v>0</v>
      </c>
      <c r="E165" s="4" t="b">
        <v>1</v>
      </c>
      <c r="F165" s="7" t="s">
        <v>32</v>
      </c>
      <c r="G165" s="7"/>
      <c r="H165" s="7"/>
      <c r="I165" s="7"/>
      <c r="J165" s="7"/>
      <c r="K165" s="7"/>
    </row>
    <row r="166" spans="1:11">
      <c r="A166" s="5" t="b">
        <v>1</v>
      </c>
      <c r="B166" s="6" t="s">
        <v>33</v>
      </c>
      <c r="C166" s="6"/>
      <c r="D166" s="6" t="b">
        <v>0</v>
      </c>
      <c r="E166" s="6" t="b">
        <v>1</v>
      </c>
      <c r="F166" s="1" t="s">
        <v>1303</v>
      </c>
      <c r="G166" s="252" t="s">
        <v>1305</v>
      </c>
      <c r="H166" s="31" t="s">
        <v>1305</v>
      </c>
      <c r="I166" s="1" t="s">
        <v>1129</v>
      </c>
      <c r="J166" s="41" t="s">
        <v>127</v>
      </c>
      <c r="K166" s="31"/>
    </row>
    <row r="167" spans="1:11">
      <c r="A167" s="5" t="b">
        <v>0</v>
      </c>
      <c r="B167" s="6" t="s">
        <v>35</v>
      </c>
      <c r="C167" s="6"/>
      <c r="D167" s="6" t="b">
        <v>0</v>
      </c>
      <c r="E167" s="6" t="b">
        <v>1</v>
      </c>
      <c r="F167" s="1" t="s">
        <v>1306</v>
      </c>
      <c r="G167" s="252" t="s">
        <v>1350</v>
      </c>
      <c r="H167" s="31" t="s">
        <v>1308</v>
      </c>
      <c r="I167" s="1" t="s">
        <v>1129</v>
      </c>
      <c r="J167" s="41" t="s">
        <v>127</v>
      </c>
      <c r="K167" s="31"/>
    </row>
    <row r="168" spans="1:11">
      <c r="A168" s="5" t="b">
        <v>0</v>
      </c>
      <c r="B168" s="6" t="s">
        <v>35</v>
      </c>
      <c r="C168" s="6"/>
      <c r="D168" s="6" t="b">
        <v>0</v>
      </c>
      <c r="E168" s="6" t="b">
        <v>1</v>
      </c>
      <c r="F168" s="1" t="s">
        <v>1309</v>
      </c>
      <c r="G168" s="252" t="s">
        <v>1310</v>
      </c>
      <c r="H168" s="31" t="s">
        <v>1310</v>
      </c>
      <c r="I168" s="1" t="s">
        <v>1129</v>
      </c>
      <c r="J168" s="41" t="s">
        <v>127</v>
      </c>
      <c r="K168" s="31"/>
    </row>
    <row r="169" spans="1:11">
      <c r="A169" s="5" t="b">
        <v>0</v>
      </c>
      <c r="B169" s="6" t="s">
        <v>35</v>
      </c>
      <c r="C169" s="6"/>
      <c r="D169" s="6" t="b">
        <v>0</v>
      </c>
      <c r="E169" s="6" t="b">
        <v>1</v>
      </c>
      <c r="F169" s="1" t="s">
        <v>1312</v>
      </c>
      <c r="G169" s="252" t="s">
        <v>1313</v>
      </c>
      <c r="H169" s="31" t="s">
        <v>1313</v>
      </c>
      <c r="I169" s="1" t="s">
        <v>1129</v>
      </c>
      <c r="J169" s="41" t="s">
        <v>127</v>
      </c>
      <c r="K169" s="31"/>
    </row>
    <row r="170" spans="1:11">
      <c r="A170" s="5" t="b">
        <v>0</v>
      </c>
      <c r="B170" s="6" t="s">
        <v>35</v>
      </c>
      <c r="C170" s="6"/>
      <c r="D170" s="6" t="b">
        <v>0</v>
      </c>
      <c r="E170" s="6" t="b">
        <v>1</v>
      </c>
      <c r="F170" s="1" t="s">
        <v>1314</v>
      </c>
      <c r="G170" s="252" t="s">
        <v>1315</v>
      </c>
      <c r="H170" s="31" t="s">
        <v>1315</v>
      </c>
      <c r="I170" s="1" t="s">
        <v>1129</v>
      </c>
      <c r="J170" s="41" t="s">
        <v>127</v>
      </c>
      <c r="K170" s="31"/>
    </row>
    <row r="171" spans="1:11">
      <c r="A171" s="5" t="b">
        <v>0</v>
      </c>
      <c r="B171" s="6" t="s">
        <v>35</v>
      </c>
      <c r="C171" s="6"/>
      <c r="D171" s="6" t="b">
        <v>0</v>
      </c>
      <c r="E171" s="6" t="b">
        <v>1</v>
      </c>
      <c r="F171" s="1" t="s">
        <v>1202</v>
      </c>
      <c r="G171" s="252" t="s">
        <v>1316</v>
      </c>
      <c r="H171" s="31" t="s">
        <v>1317</v>
      </c>
      <c r="I171" s="1" t="s">
        <v>1129</v>
      </c>
      <c r="J171" s="41" t="s">
        <v>127</v>
      </c>
      <c r="K171" s="31"/>
    </row>
    <row r="172" spans="1:11">
      <c r="A172" s="5" t="b">
        <v>0</v>
      </c>
      <c r="B172" s="6" t="s">
        <v>35</v>
      </c>
      <c r="C172" s="6"/>
      <c r="D172" s="6" t="b">
        <v>0</v>
      </c>
      <c r="E172" s="6" t="b">
        <v>1</v>
      </c>
      <c r="F172" s="1" t="s">
        <v>1213</v>
      </c>
      <c r="G172" s="252" t="s">
        <v>1318</v>
      </c>
      <c r="H172" s="31" t="s">
        <v>1319</v>
      </c>
      <c r="I172" s="1" t="s">
        <v>1129</v>
      </c>
      <c r="J172" s="41" t="s">
        <v>127</v>
      </c>
      <c r="K172" s="31"/>
    </row>
    <row r="173" spans="1:11" ht="29">
      <c r="A173" s="5" t="b">
        <v>0</v>
      </c>
      <c r="B173" s="6" t="s">
        <v>35</v>
      </c>
      <c r="C173" s="6"/>
      <c r="D173" s="6" t="b">
        <v>0</v>
      </c>
      <c r="E173" s="6" t="b">
        <v>1</v>
      </c>
      <c r="F173" s="22" t="s">
        <v>1320</v>
      </c>
      <c r="G173" s="40" t="s">
        <v>1351</v>
      </c>
      <c r="H173" s="31" t="s">
        <v>1322</v>
      </c>
      <c r="I173" s="1" t="s">
        <v>1129</v>
      </c>
      <c r="J173" s="41" t="s">
        <v>127</v>
      </c>
      <c r="K173" s="31"/>
    </row>
    <row r="174" spans="1:11" ht="29">
      <c r="A174" s="5" t="b">
        <v>0</v>
      </c>
      <c r="B174" s="6" t="s">
        <v>35</v>
      </c>
      <c r="C174" s="6"/>
      <c r="D174" s="6" t="b">
        <v>0</v>
      </c>
      <c r="E174" s="6" t="b">
        <v>1</v>
      </c>
      <c r="F174" s="22" t="s">
        <v>1323</v>
      </c>
      <c r="G174" s="40" t="s">
        <v>1352</v>
      </c>
      <c r="H174" s="36" t="s">
        <v>1325</v>
      </c>
      <c r="I174" s="1" t="s">
        <v>1129</v>
      </c>
      <c r="J174" s="41" t="s">
        <v>127</v>
      </c>
      <c r="K174" s="31"/>
    </row>
    <row r="175" spans="1:11">
      <c r="A175" s="5" t="b">
        <v>0</v>
      </c>
      <c r="B175" s="6" t="s">
        <v>35</v>
      </c>
      <c r="C175" s="6"/>
      <c r="D175" s="6" t="b">
        <v>0</v>
      </c>
      <c r="E175" s="6" t="b">
        <v>1</v>
      </c>
      <c r="F175" s="1" t="s">
        <v>1326</v>
      </c>
      <c r="G175" s="250">
        <v>1000215215</v>
      </c>
      <c r="H175" s="37">
        <v>500118192</v>
      </c>
      <c r="I175" s="1" t="s">
        <v>1129</v>
      </c>
      <c r="J175" s="41" t="s">
        <v>127</v>
      </c>
      <c r="K175" s="31"/>
    </row>
    <row r="176" spans="1:11">
      <c r="A176" s="5" t="b">
        <v>0</v>
      </c>
      <c r="B176" s="6" t="s">
        <v>35</v>
      </c>
      <c r="C176" s="6"/>
      <c r="D176" s="6" t="b">
        <v>0</v>
      </c>
      <c r="E176" s="6" t="b">
        <v>1</v>
      </c>
      <c r="F176" s="22" t="s">
        <v>1327</v>
      </c>
      <c r="G176" s="252" t="s">
        <v>1328</v>
      </c>
      <c r="H176" s="37" t="s">
        <v>1328</v>
      </c>
      <c r="I176" s="1" t="s">
        <v>1129</v>
      </c>
      <c r="J176" s="41" t="s">
        <v>127</v>
      </c>
      <c r="K176" s="31"/>
    </row>
    <row r="177" spans="1:11">
      <c r="A177" s="5" t="b">
        <v>0</v>
      </c>
      <c r="B177" s="6" t="s">
        <v>35</v>
      </c>
      <c r="C177" s="6"/>
      <c r="D177" s="6" t="b">
        <v>0</v>
      </c>
      <c r="E177" s="6" t="b">
        <v>1</v>
      </c>
      <c r="F177" s="1" t="s">
        <v>59</v>
      </c>
      <c r="G177" s="191" t="s">
        <v>1329</v>
      </c>
      <c r="H177" s="31" t="s">
        <v>1330</v>
      </c>
      <c r="I177" s="1" t="s">
        <v>1129</v>
      </c>
      <c r="J177" s="41" t="s">
        <v>127</v>
      </c>
      <c r="K177" s="31"/>
    </row>
    <row r="178" spans="1:11">
      <c r="A178" s="7" t="b">
        <v>0</v>
      </c>
      <c r="B178" s="7" t="s">
        <v>35</v>
      </c>
      <c r="C178" s="7"/>
      <c r="D178" s="7"/>
      <c r="E178" s="7"/>
      <c r="F178" s="7" t="s">
        <v>37</v>
      </c>
      <c r="G178" s="7"/>
      <c r="H178" s="4"/>
      <c r="I178" s="4"/>
      <c r="J178" s="4"/>
      <c r="K178" s="4"/>
    </row>
    <row r="179" spans="1:11" ht="43.5">
      <c r="A179" s="5" t="b">
        <v>0</v>
      </c>
      <c r="B179" s="6" t="s">
        <v>35</v>
      </c>
      <c r="C179" s="6"/>
      <c r="D179" s="6" t="b">
        <v>0</v>
      </c>
      <c r="E179" s="6" t="b">
        <v>1</v>
      </c>
      <c r="F179" s="1"/>
      <c r="G179" s="94"/>
      <c r="H179" s="35"/>
      <c r="I179" s="1" t="s">
        <v>1129</v>
      </c>
      <c r="J179" s="41" t="s">
        <v>20</v>
      </c>
      <c r="K179" s="82" t="s">
        <v>161</v>
      </c>
    </row>
  </sheetData>
  <mergeCells count="2">
    <mergeCell ref="G1:H1"/>
    <mergeCell ref="G2:H2"/>
  </mergeCells>
  <phoneticPr fontId="8" type="noConversion"/>
  <conditionalFormatting sqref="J179">
    <cfRule type="cellIs" dxfId="65" priority="32" operator="equal">
      <formula>"Y"</formula>
    </cfRule>
  </conditionalFormatting>
  <conditionalFormatting sqref="J25">
    <cfRule type="cellIs" dxfId="64" priority="23" operator="equal">
      <formula>"Y"</formula>
    </cfRule>
  </conditionalFormatting>
  <conditionalFormatting sqref="J47">
    <cfRule type="cellIs" dxfId="63" priority="22" operator="equal">
      <formula>"Y"</formula>
    </cfRule>
  </conditionalFormatting>
  <conditionalFormatting sqref="J69">
    <cfRule type="cellIs" dxfId="62" priority="21" operator="equal">
      <formula>"Y"</formula>
    </cfRule>
  </conditionalFormatting>
  <conditionalFormatting sqref="J91">
    <cfRule type="cellIs" dxfId="61" priority="20" operator="equal">
      <formula>"Y"</formula>
    </cfRule>
  </conditionalFormatting>
  <conditionalFormatting sqref="J113">
    <cfRule type="cellIs" dxfId="60" priority="19" operator="equal">
      <formula>"Y"</formula>
    </cfRule>
  </conditionalFormatting>
  <conditionalFormatting sqref="J157">
    <cfRule type="cellIs" dxfId="59" priority="18" operator="equal">
      <formula>"Y"</formula>
    </cfRule>
  </conditionalFormatting>
  <conditionalFormatting sqref="J6">
    <cfRule type="cellIs" dxfId="58" priority="17" operator="equal">
      <formula>"Y"</formula>
    </cfRule>
  </conditionalFormatting>
  <conditionalFormatting sqref="J12:J23">
    <cfRule type="cellIs" dxfId="57" priority="16" operator="equal">
      <formula>"Y"</formula>
    </cfRule>
  </conditionalFormatting>
  <conditionalFormatting sqref="J28">
    <cfRule type="cellIs" dxfId="56" priority="15" operator="equal">
      <formula>"Y"</formula>
    </cfRule>
  </conditionalFormatting>
  <conditionalFormatting sqref="J34:J45">
    <cfRule type="cellIs" dxfId="55" priority="14" operator="equal">
      <formula>"Y"</formula>
    </cfRule>
  </conditionalFormatting>
  <conditionalFormatting sqref="J50">
    <cfRule type="cellIs" dxfId="54" priority="13" operator="equal">
      <formula>"Y"</formula>
    </cfRule>
  </conditionalFormatting>
  <conditionalFormatting sqref="J56:J67">
    <cfRule type="cellIs" dxfId="53" priority="12" operator="equal">
      <formula>"Y"</formula>
    </cfRule>
  </conditionalFormatting>
  <conditionalFormatting sqref="J72">
    <cfRule type="cellIs" dxfId="52" priority="11" operator="equal">
      <formula>"Y"</formula>
    </cfRule>
  </conditionalFormatting>
  <conditionalFormatting sqref="J78:J89">
    <cfRule type="cellIs" dxfId="51" priority="10" operator="equal">
      <formula>"Y"</formula>
    </cfRule>
  </conditionalFormatting>
  <conditionalFormatting sqref="J94">
    <cfRule type="cellIs" dxfId="50" priority="9" operator="equal">
      <formula>"Y"</formula>
    </cfRule>
  </conditionalFormatting>
  <conditionalFormatting sqref="J100:J111">
    <cfRule type="cellIs" dxfId="49" priority="8" operator="equal">
      <formula>"Y"</formula>
    </cfRule>
  </conditionalFormatting>
  <conditionalFormatting sqref="J138">
    <cfRule type="cellIs" dxfId="48" priority="7" operator="equal">
      <formula>"Y"</formula>
    </cfRule>
  </conditionalFormatting>
  <conditionalFormatting sqref="J144:J155">
    <cfRule type="cellIs" dxfId="47" priority="6" operator="equal">
      <formula>"Y"</formula>
    </cfRule>
  </conditionalFormatting>
  <conditionalFormatting sqref="J160">
    <cfRule type="cellIs" dxfId="46" priority="5" operator="equal">
      <formula>"Y"</formula>
    </cfRule>
  </conditionalFormatting>
  <conditionalFormatting sqref="J166:J177">
    <cfRule type="cellIs" dxfId="45" priority="4" operator="equal">
      <formula>"Y"</formula>
    </cfRule>
  </conditionalFormatting>
  <conditionalFormatting sqref="J135">
    <cfRule type="cellIs" dxfId="44" priority="3" operator="equal">
      <formula>"Y"</formula>
    </cfRule>
  </conditionalFormatting>
  <conditionalFormatting sqref="J116">
    <cfRule type="cellIs" dxfId="43" priority="2" operator="equal">
      <formula>"Y"</formula>
    </cfRule>
  </conditionalFormatting>
  <conditionalFormatting sqref="J122:J133">
    <cfRule type="cellIs" dxfId="42" priority="1" operator="equal">
      <formula>"Y"</formula>
    </cfRule>
  </conditionalFormatting>
  <dataValidations count="3">
    <dataValidation type="list" allowBlank="1" showInputMessage="1" showErrorMessage="1" sqref="C2:E2 G2" xr:uid="{00000000-0002-0000-0B00-000000000000}">
      <formula1>SectionNames</formula1>
    </dataValidation>
    <dataValidation type="list" allowBlank="1" showInputMessage="1" showErrorMessage="1" sqref="H29 H51 H73 H95 H117 H139 H161 H7" xr:uid="{00000000-0002-0000-0B00-000001000000}">
      <formula1>TableTypeNames</formula1>
    </dataValidation>
    <dataValidation type="list" allowBlank="1" showInputMessage="1" showErrorMessage="1" sqref="G32:H32 G54:H54 G76:H76 G98:H98 G120:H120 G142:H142 G164:H164 G10:H10" xr:uid="{00000000-0002-0000-0B00-000002000000}">
      <formula1>"None,Numbered,Bullets"</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1"/>
  </sheetPr>
  <dimension ref="A1:K182"/>
  <sheetViews>
    <sheetView topLeftCell="K11" zoomScaleNormal="100" workbookViewId="0">
      <selection activeCell="O12" sqref="O12"/>
    </sheetView>
  </sheetViews>
  <sheetFormatPr defaultRowHeight="14.5"/>
  <cols>
    <col min="1" max="1" width="18.54296875" customWidth="1"/>
    <col min="2" max="2" width="21.453125" customWidth="1"/>
    <col min="3" max="3" width="18.54296875" customWidth="1"/>
    <col min="4" max="5" width="12.453125" customWidth="1"/>
    <col min="6" max="6" width="21" customWidth="1"/>
    <col min="7" max="7" width="49.453125" customWidth="1"/>
    <col min="8" max="8" width="34.7265625" customWidth="1"/>
    <col min="9" max="9" width="16.453125" customWidth="1"/>
    <col min="10" max="10" width="13" customWidth="1"/>
    <col min="11" max="11" width="39.7265625" customWidth="1"/>
  </cols>
  <sheetData>
    <row r="1" spans="1:11">
      <c r="C1" s="18"/>
      <c r="D1" s="18"/>
      <c r="E1" s="18"/>
      <c r="F1" s="8" t="s">
        <v>1</v>
      </c>
      <c r="G1" s="454" t="str">
        <f>IF(Metadata!B1="","No series name entered",Metadata!B1)</f>
        <v>HP EliteBook 865 164 inch G10 Notebook PC</v>
      </c>
      <c r="H1" s="454"/>
    </row>
    <row r="2" spans="1:11">
      <c r="F2" s="12" t="s">
        <v>2</v>
      </c>
      <c r="G2" s="272" t="s">
        <v>3</v>
      </c>
      <c r="H2" s="272"/>
    </row>
    <row r="3" spans="1:11">
      <c r="F3" s="12" t="s">
        <v>43</v>
      </c>
      <c r="G3" s="1" t="str">
        <f>Metadata!B2</f>
        <v>Lox16</v>
      </c>
    </row>
    <row r="4" spans="1:11" ht="29">
      <c r="A4" s="194" t="s">
        <v>4</v>
      </c>
      <c r="B4" s="195" t="s">
        <v>5</v>
      </c>
      <c r="C4" s="195" t="s">
        <v>6</v>
      </c>
      <c r="D4" s="195" t="s">
        <v>113</v>
      </c>
      <c r="E4" s="195" t="s">
        <v>114</v>
      </c>
      <c r="F4" s="195" t="s">
        <v>9</v>
      </c>
      <c r="G4" s="195" t="s">
        <v>10</v>
      </c>
      <c r="H4" s="195" t="s">
        <v>11</v>
      </c>
      <c r="I4" s="195" t="s">
        <v>12</v>
      </c>
      <c r="J4" s="195" t="s">
        <v>13</v>
      </c>
      <c r="K4" s="196" t="s">
        <v>14</v>
      </c>
    </row>
    <row r="5" spans="1:11">
      <c r="A5" s="197" t="s">
        <v>1142</v>
      </c>
      <c r="B5" s="198" t="s">
        <v>15</v>
      </c>
      <c r="C5" s="198" t="s">
        <v>1142</v>
      </c>
      <c r="D5" s="198" t="b">
        <v>0</v>
      </c>
      <c r="E5" s="198" t="b">
        <v>1</v>
      </c>
      <c r="F5" s="199" t="s">
        <v>1353</v>
      </c>
      <c r="G5" s="199" t="s">
        <v>1142</v>
      </c>
      <c r="H5" s="199" t="s">
        <v>1142</v>
      </c>
      <c r="I5" s="199" t="s">
        <v>1142</v>
      </c>
      <c r="J5" s="199" t="s">
        <v>1142</v>
      </c>
      <c r="K5" s="200" t="s">
        <v>1142</v>
      </c>
    </row>
    <row r="6" spans="1:11" ht="43.5">
      <c r="A6" s="201" t="s">
        <v>1142</v>
      </c>
      <c r="B6" s="202" t="s">
        <v>17</v>
      </c>
      <c r="C6" s="202" t="s">
        <v>1142</v>
      </c>
      <c r="D6" s="202" t="b">
        <v>0</v>
      </c>
      <c r="E6" s="202" t="b">
        <v>1</v>
      </c>
      <c r="F6" s="202" t="s">
        <v>18</v>
      </c>
      <c r="G6" s="202" t="s">
        <v>1354</v>
      </c>
      <c r="H6" s="202" t="s">
        <v>1355</v>
      </c>
      <c r="I6" s="202" t="s">
        <v>1142</v>
      </c>
      <c r="J6" s="203" t="s">
        <v>127</v>
      </c>
      <c r="K6" s="204" t="s">
        <v>1356</v>
      </c>
    </row>
    <row r="7" spans="1:11">
      <c r="A7" s="205" t="b">
        <v>1</v>
      </c>
      <c r="B7" s="206" t="s">
        <v>21</v>
      </c>
      <c r="C7" s="206" t="s">
        <v>1142</v>
      </c>
      <c r="D7" s="206" t="b">
        <v>0</v>
      </c>
      <c r="E7" s="206" t="b">
        <v>1</v>
      </c>
      <c r="F7" s="207" t="s">
        <v>22</v>
      </c>
      <c r="G7" s="207" t="s">
        <v>60</v>
      </c>
      <c r="H7" s="208" t="s">
        <v>1142</v>
      </c>
      <c r="I7" s="207" t="s">
        <v>1142</v>
      </c>
      <c r="J7" s="207" t="s">
        <v>1142</v>
      </c>
      <c r="K7" s="204" t="s">
        <v>1142</v>
      </c>
    </row>
    <row r="8" spans="1:11">
      <c r="A8" s="205" t="b">
        <v>0</v>
      </c>
      <c r="B8" s="206" t="s">
        <v>24</v>
      </c>
      <c r="C8" s="206" t="s">
        <v>1142</v>
      </c>
      <c r="D8" s="206" t="b">
        <v>0</v>
      </c>
      <c r="E8" s="206" t="b">
        <v>1</v>
      </c>
      <c r="F8" s="207" t="s">
        <v>25</v>
      </c>
      <c r="G8" s="207">
        <v>2</v>
      </c>
      <c r="H8" s="208" t="s">
        <v>1142</v>
      </c>
      <c r="I8" s="207" t="s">
        <v>1142</v>
      </c>
      <c r="J8" s="207" t="s">
        <v>1142</v>
      </c>
      <c r="K8" s="204" t="s">
        <v>1142</v>
      </c>
    </row>
    <row r="9" spans="1:11">
      <c r="A9" s="205" t="b">
        <v>0</v>
      </c>
      <c r="B9" s="206" t="s">
        <v>26</v>
      </c>
      <c r="C9" s="206" t="s">
        <v>1142</v>
      </c>
      <c r="D9" s="206" t="b">
        <v>0</v>
      </c>
      <c r="E9" s="206" t="b">
        <v>1</v>
      </c>
      <c r="F9" s="207" t="s">
        <v>27</v>
      </c>
      <c r="G9" s="207" t="s">
        <v>1142</v>
      </c>
      <c r="H9" s="208" t="s">
        <v>1142</v>
      </c>
      <c r="I9" s="207" t="s">
        <v>1142</v>
      </c>
      <c r="J9" s="207" t="s">
        <v>1142</v>
      </c>
      <c r="K9" s="204" t="s">
        <v>1142</v>
      </c>
    </row>
    <row r="10" spans="1:11">
      <c r="A10" s="205" t="b">
        <v>1</v>
      </c>
      <c r="B10" s="206" t="s">
        <v>28</v>
      </c>
      <c r="C10" s="206" t="s">
        <v>1142</v>
      </c>
      <c r="D10" s="206" t="b">
        <v>0</v>
      </c>
      <c r="E10" s="206" t="b">
        <v>1</v>
      </c>
      <c r="F10" s="207" t="s">
        <v>29</v>
      </c>
      <c r="G10" s="207" t="s">
        <v>30</v>
      </c>
      <c r="H10" s="208" t="s">
        <v>1142</v>
      </c>
      <c r="I10" s="207" t="s">
        <v>1142</v>
      </c>
      <c r="J10" s="207" t="s">
        <v>1142</v>
      </c>
      <c r="K10" s="204" t="s">
        <v>1142</v>
      </c>
    </row>
    <row r="11" spans="1:11" ht="158.25" customHeight="1">
      <c r="A11" s="209" t="s">
        <v>1142</v>
      </c>
      <c r="B11" s="210" t="s">
        <v>31</v>
      </c>
      <c r="C11" s="210" t="s">
        <v>1142</v>
      </c>
      <c r="D11" s="210" t="b">
        <v>0</v>
      </c>
      <c r="E11" s="210" t="b">
        <v>1</v>
      </c>
      <c r="F11" s="211" t="s">
        <v>32</v>
      </c>
      <c r="G11" s="211" t="s">
        <v>1142</v>
      </c>
      <c r="H11" s="211" t="s">
        <v>1142</v>
      </c>
      <c r="I11" s="211" t="s">
        <v>1142</v>
      </c>
      <c r="J11" s="211" t="s">
        <v>1142</v>
      </c>
      <c r="K11" s="210" t="s">
        <v>1357</v>
      </c>
    </row>
    <row r="12" spans="1:11" ht="159.5">
      <c r="A12" s="205" t="b">
        <v>0</v>
      </c>
      <c r="B12" s="206" t="s">
        <v>35</v>
      </c>
      <c r="C12" s="206" t="s">
        <v>1142</v>
      </c>
      <c r="D12" s="206" t="b">
        <v>0</v>
      </c>
      <c r="E12" s="206" t="b">
        <v>1</v>
      </c>
      <c r="F12" s="212" t="s">
        <v>1358</v>
      </c>
      <c r="G12" s="213" t="s">
        <v>1359</v>
      </c>
      <c r="H12" s="214" t="s">
        <v>1359</v>
      </c>
      <c r="I12" s="207" t="s">
        <v>1129</v>
      </c>
      <c r="J12" s="203" t="s">
        <v>127</v>
      </c>
      <c r="K12" s="204" t="s">
        <v>1142</v>
      </c>
    </row>
    <row r="13" spans="1:11">
      <c r="A13" s="205" t="s">
        <v>1142</v>
      </c>
      <c r="B13" s="206" t="s">
        <v>35</v>
      </c>
      <c r="C13" s="206" t="s">
        <v>1142</v>
      </c>
      <c r="D13" s="206" t="b">
        <v>0</v>
      </c>
      <c r="E13" s="206" t="b">
        <v>1</v>
      </c>
      <c r="F13" s="212" t="s">
        <v>1360</v>
      </c>
      <c r="G13" s="213" t="s">
        <v>1361</v>
      </c>
      <c r="H13" s="214" t="s">
        <v>1362</v>
      </c>
      <c r="I13" s="207" t="s">
        <v>1129</v>
      </c>
      <c r="J13" s="203" t="s">
        <v>127</v>
      </c>
      <c r="K13" s="204" t="s">
        <v>1142</v>
      </c>
    </row>
    <row r="14" spans="1:11" ht="116">
      <c r="A14" s="205" t="b">
        <v>0</v>
      </c>
      <c r="B14" s="206" t="s">
        <v>35</v>
      </c>
      <c r="C14" s="206" t="s">
        <v>1142</v>
      </c>
      <c r="D14" s="206" t="b">
        <v>0</v>
      </c>
      <c r="E14" s="206" t="b">
        <v>1</v>
      </c>
      <c r="F14" s="212" t="s">
        <v>1363</v>
      </c>
      <c r="G14" s="213" t="s">
        <v>1364</v>
      </c>
      <c r="H14" s="214" t="s">
        <v>1364</v>
      </c>
      <c r="I14" s="207" t="s">
        <v>1129</v>
      </c>
      <c r="J14" s="203" t="s">
        <v>127</v>
      </c>
      <c r="K14" s="204" t="s">
        <v>1142</v>
      </c>
    </row>
    <row r="15" spans="1:11" ht="159.5">
      <c r="A15" s="205" t="b">
        <v>0</v>
      </c>
      <c r="B15" s="206" t="s">
        <v>35</v>
      </c>
      <c r="C15" s="206" t="s">
        <v>1142</v>
      </c>
      <c r="D15" s="206" t="b">
        <v>0</v>
      </c>
      <c r="E15" s="206" t="b">
        <v>1</v>
      </c>
      <c r="F15" s="212" t="s">
        <v>1365</v>
      </c>
      <c r="G15" s="213" t="s">
        <v>1366</v>
      </c>
      <c r="H15" s="214" t="s">
        <v>1366</v>
      </c>
      <c r="I15" s="207" t="s">
        <v>1129</v>
      </c>
      <c r="J15" s="203" t="s">
        <v>127</v>
      </c>
      <c r="K15" s="204" t="s">
        <v>1142</v>
      </c>
    </row>
    <row r="16" spans="1:11" ht="43.5">
      <c r="A16" s="205" t="b">
        <v>0</v>
      </c>
      <c r="B16" s="206" t="s">
        <v>35</v>
      </c>
      <c r="C16" s="206" t="s">
        <v>1142</v>
      </c>
      <c r="D16" s="206" t="b">
        <v>0</v>
      </c>
      <c r="E16" s="206" t="b">
        <v>1</v>
      </c>
      <c r="F16" s="212" t="s">
        <v>1367</v>
      </c>
      <c r="G16" s="213" t="s">
        <v>1368</v>
      </c>
      <c r="H16" s="214" t="s">
        <v>1369</v>
      </c>
      <c r="I16" s="207" t="s">
        <v>1129</v>
      </c>
      <c r="J16" s="203" t="s">
        <v>127</v>
      </c>
      <c r="K16" s="204" t="s">
        <v>1142</v>
      </c>
    </row>
    <row r="17" spans="1:11" ht="159.5">
      <c r="A17" s="205" t="b">
        <v>0</v>
      </c>
      <c r="B17" s="206" t="s">
        <v>35</v>
      </c>
      <c r="C17" s="206" t="s">
        <v>1142</v>
      </c>
      <c r="D17" s="206" t="b">
        <v>0</v>
      </c>
      <c r="E17" s="206" t="b">
        <v>1</v>
      </c>
      <c r="F17" s="212" t="s">
        <v>1370</v>
      </c>
      <c r="G17" s="213" t="s">
        <v>1371</v>
      </c>
      <c r="H17" s="214" t="s">
        <v>1372</v>
      </c>
      <c r="I17" s="207" t="s">
        <v>1129</v>
      </c>
      <c r="J17" s="203" t="s">
        <v>127</v>
      </c>
      <c r="K17" s="204" t="s">
        <v>1142</v>
      </c>
    </row>
    <row r="18" spans="1:11" ht="29">
      <c r="A18" s="205" t="b">
        <v>0</v>
      </c>
      <c r="B18" s="206" t="s">
        <v>35</v>
      </c>
      <c r="C18" s="206" t="s">
        <v>1142</v>
      </c>
      <c r="D18" s="206" t="b">
        <v>0</v>
      </c>
      <c r="E18" s="206" t="b">
        <v>1</v>
      </c>
      <c r="F18" s="212" t="s">
        <v>1373</v>
      </c>
      <c r="G18" s="213" t="s">
        <v>1374</v>
      </c>
      <c r="H18" s="214" t="s">
        <v>1374</v>
      </c>
      <c r="I18" s="207" t="s">
        <v>1129</v>
      </c>
      <c r="J18" s="203" t="s">
        <v>127</v>
      </c>
      <c r="K18" s="204" t="s">
        <v>1142</v>
      </c>
    </row>
    <row r="19" spans="1:11" ht="29">
      <c r="A19" s="215" t="b">
        <v>0</v>
      </c>
      <c r="B19" s="216" t="s">
        <v>35</v>
      </c>
      <c r="C19" s="216" t="s">
        <v>1142</v>
      </c>
      <c r="D19" s="206" t="b">
        <v>0</v>
      </c>
      <c r="E19" s="206" t="b">
        <v>1</v>
      </c>
      <c r="F19" s="212" t="s">
        <v>1375</v>
      </c>
      <c r="G19" s="213" t="s">
        <v>1376</v>
      </c>
      <c r="H19" s="214" t="s">
        <v>1376</v>
      </c>
      <c r="I19" s="207" t="s">
        <v>1129</v>
      </c>
      <c r="J19" s="203" t="s">
        <v>127</v>
      </c>
      <c r="K19" s="204" t="s">
        <v>1142</v>
      </c>
    </row>
    <row r="20" spans="1:11" ht="362.5">
      <c r="A20" s="217" t="b">
        <v>0</v>
      </c>
      <c r="B20" s="206" t="s">
        <v>35</v>
      </c>
      <c r="C20" s="218" t="s">
        <v>1142</v>
      </c>
      <c r="D20" s="206" t="b">
        <v>0</v>
      </c>
      <c r="E20" s="219" t="b">
        <v>1</v>
      </c>
      <c r="F20" s="186" t="s">
        <v>1377</v>
      </c>
      <c r="G20" s="213" t="s">
        <v>1378</v>
      </c>
      <c r="H20" s="214" t="s">
        <v>1378</v>
      </c>
      <c r="I20" s="220" t="s">
        <v>1129</v>
      </c>
      <c r="J20" s="203" t="s">
        <v>127</v>
      </c>
      <c r="K20" s="221" t="s">
        <v>1142</v>
      </c>
    </row>
    <row r="21" spans="1:11" ht="130.5">
      <c r="A21" s="205" t="b">
        <v>0</v>
      </c>
      <c r="B21" s="206" t="s">
        <v>35</v>
      </c>
      <c r="C21" s="206" t="s">
        <v>1142</v>
      </c>
      <c r="D21" s="206" t="b">
        <v>0</v>
      </c>
      <c r="E21" s="206" t="b">
        <v>1</v>
      </c>
      <c r="F21" s="212" t="s">
        <v>1379</v>
      </c>
      <c r="G21" s="213" t="s">
        <v>1380</v>
      </c>
      <c r="H21" s="214" t="s">
        <v>1380</v>
      </c>
      <c r="I21" s="222" t="s">
        <v>1129</v>
      </c>
      <c r="J21" s="203" t="s">
        <v>127</v>
      </c>
      <c r="K21" s="223" t="s">
        <v>1142</v>
      </c>
    </row>
    <row r="22" spans="1:11" ht="43.5">
      <c r="A22" s="205" t="b">
        <v>0</v>
      </c>
      <c r="B22" s="206" t="s">
        <v>35</v>
      </c>
      <c r="C22" s="206" t="s">
        <v>1142</v>
      </c>
      <c r="D22" s="206" t="b">
        <v>0</v>
      </c>
      <c r="E22" s="206" t="b">
        <v>1</v>
      </c>
      <c r="F22" s="212" t="s">
        <v>1381</v>
      </c>
      <c r="G22" s="224" t="s">
        <v>1382</v>
      </c>
      <c r="H22" s="214" t="s">
        <v>1382</v>
      </c>
      <c r="I22" s="207" t="s">
        <v>1129</v>
      </c>
      <c r="J22" s="203" t="s">
        <v>127</v>
      </c>
      <c r="K22" s="204" t="s">
        <v>1142</v>
      </c>
    </row>
    <row r="23" spans="1:11" ht="261">
      <c r="A23" s="205" t="b">
        <v>0</v>
      </c>
      <c r="B23" s="206" t="s">
        <v>35</v>
      </c>
      <c r="C23" s="206" t="s">
        <v>1142</v>
      </c>
      <c r="D23" s="206" t="b">
        <v>0</v>
      </c>
      <c r="E23" s="206" t="b">
        <v>1</v>
      </c>
      <c r="F23" s="212" t="s">
        <v>1383</v>
      </c>
      <c r="G23" s="225" t="s">
        <v>1384</v>
      </c>
      <c r="H23" s="214" t="s">
        <v>1384</v>
      </c>
      <c r="I23" s="207" t="s">
        <v>1142</v>
      </c>
      <c r="J23" s="203" t="s">
        <v>127</v>
      </c>
      <c r="K23" s="204" t="s">
        <v>1142</v>
      </c>
    </row>
    <row r="24" spans="1:11" ht="101.5">
      <c r="A24" s="205" t="b">
        <v>0</v>
      </c>
      <c r="B24" s="206" t="s">
        <v>35</v>
      </c>
      <c r="C24" s="206" t="s">
        <v>1142</v>
      </c>
      <c r="D24" s="206" t="b">
        <v>0</v>
      </c>
      <c r="E24" s="206" t="b">
        <v>1</v>
      </c>
      <c r="F24" s="212" t="s">
        <v>1385</v>
      </c>
      <c r="G24" s="213" t="s">
        <v>1386</v>
      </c>
      <c r="H24" s="214" t="s">
        <v>1387</v>
      </c>
      <c r="I24" s="207" t="s">
        <v>1129</v>
      </c>
      <c r="J24" s="203" t="s">
        <v>127</v>
      </c>
      <c r="K24" s="204" t="s">
        <v>1142</v>
      </c>
    </row>
    <row r="25" spans="1:11">
      <c r="A25" s="205" t="b">
        <v>0</v>
      </c>
      <c r="B25" s="206" t="s">
        <v>35</v>
      </c>
      <c r="C25" s="206" t="s">
        <v>1142</v>
      </c>
      <c r="D25" s="206" t="b">
        <v>0</v>
      </c>
      <c r="E25" s="206" t="b">
        <v>1</v>
      </c>
      <c r="F25" s="212" t="s">
        <v>1303</v>
      </c>
      <c r="G25" s="213" t="s">
        <v>1388</v>
      </c>
      <c r="H25" s="214" t="s">
        <v>1388</v>
      </c>
      <c r="I25" s="207" t="s">
        <v>1129</v>
      </c>
      <c r="J25" s="203" t="s">
        <v>127</v>
      </c>
      <c r="K25" s="204" t="s">
        <v>1142</v>
      </c>
    </row>
    <row r="26" spans="1:11" ht="29">
      <c r="A26" s="205" t="b">
        <v>0</v>
      </c>
      <c r="B26" s="206" t="s">
        <v>35</v>
      </c>
      <c r="C26" s="206" t="s">
        <v>1142</v>
      </c>
      <c r="D26" s="206" t="b">
        <v>0</v>
      </c>
      <c r="E26" s="206" t="b">
        <v>1</v>
      </c>
      <c r="F26" s="212" t="s">
        <v>1389</v>
      </c>
      <c r="G26" s="213" t="s">
        <v>1390</v>
      </c>
      <c r="H26" s="214" t="s">
        <v>1390</v>
      </c>
      <c r="I26" s="207" t="s">
        <v>1129</v>
      </c>
      <c r="J26" s="203" t="s">
        <v>127</v>
      </c>
      <c r="K26" s="204" t="s">
        <v>1142</v>
      </c>
    </row>
    <row r="27" spans="1:11" ht="29">
      <c r="A27" s="205" t="b">
        <v>0</v>
      </c>
      <c r="B27" s="206" t="s">
        <v>35</v>
      </c>
      <c r="C27" s="206" t="s">
        <v>1142</v>
      </c>
      <c r="D27" s="206" t="b">
        <v>0</v>
      </c>
      <c r="E27" s="206" t="b">
        <v>1</v>
      </c>
      <c r="F27" s="212" t="s">
        <v>1202</v>
      </c>
      <c r="G27" s="213" t="s">
        <v>1391</v>
      </c>
      <c r="H27" s="214" t="s">
        <v>1391</v>
      </c>
      <c r="I27" s="207" t="s">
        <v>1129</v>
      </c>
      <c r="J27" s="203" t="s">
        <v>127</v>
      </c>
      <c r="K27" s="204" t="s">
        <v>1142</v>
      </c>
    </row>
    <row r="28" spans="1:11">
      <c r="A28" s="205" t="b">
        <v>0</v>
      </c>
      <c r="B28" s="206" t="s">
        <v>35</v>
      </c>
      <c r="C28" s="206" t="s">
        <v>1142</v>
      </c>
      <c r="D28" s="206" t="b">
        <v>0</v>
      </c>
      <c r="E28" s="206" t="b">
        <v>1</v>
      </c>
      <c r="F28" s="212" t="s">
        <v>1392</v>
      </c>
      <c r="G28" s="213" t="s">
        <v>1393</v>
      </c>
      <c r="H28" s="226" t="s">
        <v>1393</v>
      </c>
      <c r="I28" s="207" t="s">
        <v>1129</v>
      </c>
      <c r="J28" s="203" t="s">
        <v>127</v>
      </c>
      <c r="K28" s="204" t="s">
        <v>1142</v>
      </c>
    </row>
    <row r="29" spans="1:11" ht="43.5">
      <c r="A29" s="205" t="b">
        <v>0</v>
      </c>
      <c r="B29" s="206" t="s">
        <v>35</v>
      </c>
      <c r="C29" s="206" t="s">
        <v>1142</v>
      </c>
      <c r="D29" s="206" t="b">
        <v>0</v>
      </c>
      <c r="E29" s="206" t="b">
        <v>1</v>
      </c>
      <c r="F29" s="212" t="s">
        <v>1141</v>
      </c>
      <c r="G29" s="213" t="s">
        <v>1394</v>
      </c>
      <c r="H29" s="214" t="s">
        <v>1394</v>
      </c>
      <c r="I29" s="207" t="s">
        <v>1129</v>
      </c>
      <c r="J29" s="203" t="s">
        <v>127</v>
      </c>
      <c r="K29" s="204" t="s">
        <v>1142</v>
      </c>
    </row>
    <row r="30" spans="1:11" ht="58">
      <c r="A30" s="205" t="b">
        <v>0</v>
      </c>
      <c r="B30" s="206" t="s">
        <v>35</v>
      </c>
      <c r="C30" s="206" t="s">
        <v>1142</v>
      </c>
      <c r="D30" s="206" t="b">
        <v>0</v>
      </c>
      <c r="E30" s="206" t="b">
        <v>1</v>
      </c>
      <c r="F30" s="212" t="s">
        <v>1395</v>
      </c>
      <c r="G30" s="213" t="s">
        <v>1396</v>
      </c>
      <c r="H30" s="214" t="s">
        <v>1397</v>
      </c>
      <c r="I30" s="207" t="s">
        <v>1129</v>
      </c>
      <c r="J30" s="203" t="s">
        <v>127</v>
      </c>
      <c r="K30" s="204" t="s">
        <v>1142</v>
      </c>
    </row>
    <row r="31" spans="1:11" ht="29">
      <c r="A31" s="205" t="b">
        <v>0</v>
      </c>
      <c r="B31" s="206" t="s">
        <v>35</v>
      </c>
      <c r="C31" s="206" t="s">
        <v>1142</v>
      </c>
      <c r="D31" s="206" t="b">
        <v>0</v>
      </c>
      <c r="E31" s="206" t="b">
        <v>1</v>
      </c>
      <c r="F31" s="212" t="s">
        <v>1398</v>
      </c>
      <c r="G31" s="213" t="s">
        <v>1399</v>
      </c>
      <c r="H31" s="214" t="s">
        <v>1399</v>
      </c>
      <c r="I31" s="207" t="s">
        <v>1129</v>
      </c>
      <c r="J31" s="203" t="s">
        <v>127</v>
      </c>
      <c r="K31" s="204" t="s">
        <v>1142</v>
      </c>
    </row>
    <row r="32" spans="1:11" ht="29">
      <c r="A32" s="205" t="b">
        <v>0</v>
      </c>
      <c r="B32" s="206" t="s">
        <v>35</v>
      </c>
      <c r="C32" s="206" t="s">
        <v>1142</v>
      </c>
      <c r="D32" s="206" t="b">
        <v>0</v>
      </c>
      <c r="E32" s="206" t="b">
        <v>1</v>
      </c>
      <c r="F32" s="212" t="s">
        <v>1400</v>
      </c>
      <c r="G32" s="213" t="s">
        <v>1137</v>
      </c>
      <c r="H32" s="214" t="s">
        <v>1401</v>
      </c>
      <c r="I32" s="207" t="s">
        <v>1129</v>
      </c>
      <c r="J32" s="203" t="s">
        <v>127</v>
      </c>
      <c r="K32" s="204" t="s">
        <v>1142</v>
      </c>
    </row>
    <row r="33" spans="1:11" ht="43.5">
      <c r="A33" s="205" t="b">
        <v>0</v>
      </c>
      <c r="B33" s="206" t="s">
        <v>118</v>
      </c>
      <c r="C33" s="206" t="s">
        <v>1142</v>
      </c>
      <c r="D33" s="206" t="b">
        <v>0</v>
      </c>
      <c r="E33" s="206" t="b">
        <v>1</v>
      </c>
      <c r="F33" s="212" t="s">
        <v>34</v>
      </c>
      <c r="G33" s="213" t="s">
        <v>1402</v>
      </c>
      <c r="H33" s="214" t="s">
        <v>1402</v>
      </c>
      <c r="I33" s="207" t="s">
        <v>1129</v>
      </c>
      <c r="J33" s="203" t="s">
        <v>127</v>
      </c>
      <c r="K33" s="204" t="s">
        <v>1142</v>
      </c>
    </row>
    <row r="34" spans="1:11">
      <c r="A34" s="205" t="b">
        <v>0</v>
      </c>
      <c r="B34" s="206" t="s">
        <v>35</v>
      </c>
      <c r="C34" s="206" t="s">
        <v>1142</v>
      </c>
      <c r="D34" s="206" t="b">
        <v>0</v>
      </c>
      <c r="E34" s="206" t="b">
        <v>1</v>
      </c>
      <c r="F34" s="212" t="s">
        <v>1403</v>
      </c>
      <c r="G34" s="213" t="s">
        <v>1404</v>
      </c>
      <c r="H34" s="214" t="s">
        <v>1404</v>
      </c>
      <c r="I34" s="207" t="s">
        <v>1129</v>
      </c>
      <c r="J34" s="203" t="s">
        <v>127</v>
      </c>
      <c r="K34" s="204" t="s">
        <v>1142</v>
      </c>
    </row>
    <row r="35" spans="1:11">
      <c r="A35" s="205" t="b">
        <v>0</v>
      </c>
      <c r="B35" s="206" t="s">
        <v>35</v>
      </c>
      <c r="C35" s="206" t="s">
        <v>1142</v>
      </c>
      <c r="D35" s="206" t="b">
        <v>0</v>
      </c>
      <c r="E35" s="206" t="b">
        <v>1</v>
      </c>
      <c r="F35" s="212" t="s">
        <v>1363</v>
      </c>
      <c r="G35" s="213" t="s">
        <v>1405</v>
      </c>
      <c r="H35" s="214" t="s">
        <v>1405</v>
      </c>
      <c r="I35" s="207" t="s">
        <v>1129</v>
      </c>
      <c r="J35" s="203" t="s">
        <v>127</v>
      </c>
      <c r="K35" s="204" t="s">
        <v>1142</v>
      </c>
    </row>
    <row r="36" spans="1:11" ht="29">
      <c r="A36" s="205" t="b">
        <v>0</v>
      </c>
      <c r="B36" s="206" t="s">
        <v>35</v>
      </c>
      <c r="C36" s="206" t="s">
        <v>1142</v>
      </c>
      <c r="D36" s="206" t="b">
        <v>0</v>
      </c>
      <c r="E36" s="206" t="b">
        <v>1</v>
      </c>
      <c r="F36" s="212" t="s">
        <v>1406</v>
      </c>
      <c r="G36" s="213" t="s">
        <v>1407</v>
      </c>
      <c r="H36" s="214" t="s">
        <v>1407</v>
      </c>
      <c r="I36" s="207" t="s">
        <v>1129</v>
      </c>
      <c r="J36" s="203" t="s">
        <v>127</v>
      </c>
      <c r="K36" s="204" t="s">
        <v>1142</v>
      </c>
    </row>
    <row r="37" spans="1:11" ht="159.5">
      <c r="A37" s="205" t="b">
        <v>0</v>
      </c>
      <c r="B37" s="206" t="s">
        <v>35</v>
      </c>
      <c r="C37" s="206" t="s">
        <v>1142</v>
      </c>
      <c r="D37" s="206" t="b">
        <v>0</v>
      </c>
      <c r="E37" s="206" t="b">
        <v>1</v>
      </c>
      <c r="F37" s="212" t="s">
        <v>1408</v>
      </c>
      <c r="G37" s="213" t="s">
        <v>1409</v>
      </c>
      <c r="H37" s="214" t="s">
        <v>1409</v>
      </c>
      <c r="I37" s="207" t="s">
        <v>1129</v>
      </c>
      <c r="J37" s="203" t="s">
        <v>127</v>
      </c>
      <c r="K37" s="204" t="s">
        <v>1142</v>
      </c>
    </row>
    <row r="38" spans="1:11" ht="58">
      <c r="A38" s="205" t="b">
        <v>0</v>
      </c>
      <c r="B38" s="206" t="s">
        <v>35</v>
      </c>
      <c r="C38" s="206" t="s">
        <v>1142</v>
      </c>
      <c r="D38" s="206" t="b">
        <v>0</v>
      </c>
      <c r="E38" s="206" t="b">
        <v>1</v>
      </c>
      <c r="F38" s="212" t="s">
        <v>1410</v>
      </c>
      <c r="G38" s="213" t="s">
        <v>1411</v>
      </c>
      <c r="H38" s="214" t="s">
        <v>1411</v>
      </c>
      <c r="I38" s="207" t="s">
        <v>1129</v>
      </c>
      <c r="J38" s="203" t="s">
        <v>127</v>
      </c>
      <c r="K38" s="204" t="s">
        <v>1142</v>
      </c>
    </row>
    <row r="39" spans="1:11" ht="43.5">
      <c r="A39" s="205" t="b">
        <v>0</v>
      </c>
      <c r="B39" s="206" t="s">
        <v>35</v>
      </c>
      <c r="C39" s="206" t="s">
        <v>1142</v>
      </c>
      <c r="D39" s="206" t="b">
        <v>0</v>
      </c>
      <c r="E39" s="206" t="b">
        <v>1</v>
      </c>
      <c r="F39" s="212" t="s">
        <v>1379</v>
      </c>
      <c r="G39" s="213" t="s">
        <v>1412</v>
      </c>
      <c r="H39" s="214" t="s">
        <v>1412</v>
      </c>
      <c r="I39" s="207" t="s">
        <v>35</v>
      </c>
      <c r="J39" s="203" t="s">
        <v>127</v>
      </c>
      <c r="K39" s="204" t="b">
        <v>0</v>
      </c>
    </row>
    <row r="40" spans="1:11" ht="58">
      <c r="A40" s="205" t="b">
        <v>0</v>
      </c>
      <c r="B40" s="206" t="s">
        <v>35</v>
      </c>
      <c r="C40" s="206" t="s">
        <v>1142</v>
      </c>
      <c r="D40" s="206" t="b">
        <v>0</v>
      </c>
      <c r="E40" s="206" t="b">
        <v>1</v>
      </c>
      <c r="F40" s="212" t="s">
        <v>1413</v>
      </c>
      <c r="G40" s="213" t="s">
        <v>1414</v>
      </c>
      <c r="H40" s="214" t="s">
        <v>1414</v>
      </c>
      <c r="I40" s="207" t="s">
        <v>1142</v>
      </c>
      <c r="J40" s="203" t="s">
        <v>127</v>
      </c>
      <c r="K40" s="204" t="s">
        <v>1142</v>
      </c>
    </row>
    <row r="41" spans="1:11" ht="29">
      <c r="A41" s="205" t="b">
        <v>0</v>
      </c>
      <c r="B41" s="206" t="s">
        <v>35</v>
      </c>
      <c r="C41" s="206" t="s">
        <v>1142</v>
      </c>
      <c r="D41" s="206" t="b">
        <v>0</v>
      </c>
      <c r="E41" s="206" t="b">
        <v>1</v>
      </c>
      <c r="F41" s="212" t="s">
        <v>1381</v>
      </c>
      <c r="G41" s="213" t="s">
        <v>1415</v>
      </c>
      <c r="H41" s="214" t="s">
        <v>1415</v>
      </c>
      <c r="I41" s="207" t="s">
        <v>1142</v>
      </c>
      <c r="J41" s="203" t="s">
        <v>127</v>
      </c>
      <c r="K41" s="204" t="s">
        <v>1142</v>
      </c>
    </row>
    <row r="42" spans="1:11" ht="29">
      <c r="A42" s="205" t="s">
        <v>1142</v>
      </c>
      <c r="B42" s="206" t="s">
        <v>1142</v>
      </c>
      <c r="C42" s="206" t="s">
        <v>1142</v>
      </c>
      <c r="D42" s="206" t="s">
        <v>1142</v>
      </c>
      <c r="E42" s="206" t="s">
        <v>1142</v>
      </c>
      <c r="F42" s="212" t="s">
        <v>1416</v>
      </c>
      <c r="G42" s="213" t="s">
        <v>1417</v>
      </c>
      <c r="H42" s="214" t="s">
        <v>1418</v>
      </c>
      <c r="I42" s="207" t="s">
        <v>1142</v>
      </c>
      <c r="J42" s="203" t="s">
        <v>127</v>
      </c>
      <c r="K42" s="204" t="s">
        <v>1142</v>
      </c>
    </row>
    <row r="43" spans="1:11" ht="43.5">
      <c r="A43" s="205" t="b">
        <v>0</v>
      </c>
      <c r="B43" s="206" t="s">
        <v>35</v>
      </c>
      <c r="C43" s="206" t="s">
        <v>1142</v>
      </c>
      <c r="D43" s="206" t="b">
        <v>0</v>
      </c>
      <c r="E43" s="206" t="b">
        <v>1</v>
      </c>
      <c r="F43" s="212" t="s">
        <v>1419</v>
      </c>
      <c r="G43" s="213" t="s">
        <v>1420</v>
      </c>
      <c r="H43" s="214" t="s">
        <v>1421</v>
      </c>
      <c r="I43" s="207" t="s">
        <v>1142</v>
      </c>
      <c r="J43" s="203" t="s">
        <v>127</v>
      </c>
      <c r="K43" s="204" t="s">
        <v>1142</v>
      </c>
    </row>
    <row r="44" spans="1:11" ht="406">
      <c r="A44" s="205" t="b">
        <v>0</v>
      </c>
      <c r="B44" s="206" t="s">
        <v>35</v>
      </c>
      <c r="C44" s="206" t="s">
        <v>1142</v>
      </c>
      <c r="D44" s="206" t="b">
        <v>0</v>
      </c>
      <c r="E44" s="206" t="b">
        <v>1</v>
      </c>
      <c r="F44" s="212" t="s">
        <v>1422</v>
      </c>
      <c r="G44" s="213" t="s">
        <v>1423</v>
      </c>
      <c r="H44" s="214" t="s">
        <v>1424</v>
      </c>
      <c r="I44" s="207" t="s">
        <v>1142</v>
      </c>
      <c r="J44" s="203" t="s">
        <v>127</v>
      </c>
      <c r="K44" s="204" t="s">
        <v>1142</v>
      </c>
    </row>
    <row r="45" spans="1:11">
      <c r="A45" s="227" t="s">
        <v>1142</v>
      </c>
      <c r="B45" s="210" t="s">
        <v>36</v>
      </c>
      <c r="C45" s="210" t="s">
        <v>1142</v>
      </c>
      <c r="D45" s="210" t="b">
        <v>0</v>
      </c>
      <c r="E45" s="210" t="b">
        <v>1</v>
      </c>
      <c r="F45" s="211" t="s">
        <v>37</v>
      </c>
      <c r="G45" s="210" t="s">
        <v>1142</v>
      </c>
      <c r="H45" s="211" t="s">
        <v>1142</v>
      </c>
      <c r="I45" s="211" t="s">
        <v>1142</v>
      </c>
      <c r="J45" s="211" t="s">
        <v>1142</v>
      </c>
      <c r="K45" s="211" t="s">
        <v>1142</v>
      </c>
    </row>
    <row r="46" spans="1:11" ht="159.5">
      <c r="A46" s="217" t="b">
        <v>0</v>
      </c>
      <c r="B46" s="206" t="s">
        <v>38</v>
      </c>
      <c r="C46" s="206" t="s">
        <v>1142</v>
      </c>
      <c r="D46" s="206" t="b">
        <v>0</v>
      </c>
      <c r="E46" s="206" t="b">
        <v>1</v>
      </c>
      <c r="F46" s="207" t="s">
        <v>1142</v>
      </c>
      <c r="G46" s="228" t="s">
        <v>1425</v>
      </c>
      <c r="H46" s="214" t="s">
        <v>1426</v>
      </c>
      <c r="I46" s="207" t="s">
        <v>1129</v>
      </c>
      <c r="J46" s="229" t="s">
        <v>127</v>
      </c>
      <c r="K46" s="230" t="s">
        <v>161</v>
      </c>
    </row>
    <row r="47" spans="1:11" ht="43.5">
      <c r="A47" s="217" t="b">
        <v>0</v>
      </c>
      <c r="B47" s="206" t="s">
        <v>38</v>
      </c>
      <c r="C47" s="206" t="s">
        <v>1142</v>
      </c>
      <c r="D47" s="206" t="b">
        <v>0</v>
      </c>
      <c r="E47" s="206" t="b">
        <v>1</v>
      </c>
      <c r="F47" s="207" t="s">
        <v>1142</v>
      </c>
      <c r="G47" s="228" t="s">
        <v>1427</v>
      </c>
      <c r="H47" s="214" t="s">
        <v>1427</v>
      </c>
      <c r="I47" s="207" t="s">
        <v>1129</v>
      </c>
      <c r="J47" s="229" t="s">
        <v>127</v>
      </c>
      <c r="K47" s="230" t="s">
        <v>161</v>
      </c>
    </row>
    <row r="48" spans="1:11" ht="87">
      <c r="A48" s="217" t="b">
        <v>0</v>
      </c>
      <c r="B48" s="206" t="s">
        <v>38</v>
      </c>
      <c r="C48" s="206" t="s">
        <v>1142</v>
      </c>
      <c r="D48" s="206" t="b">
        <v>0</v>
      </c>
      <c r="E48" s="206" t="b">
        <v>1</v>
      </c>
      <c r="F48" s="207" t="s">
        <v>1142</v>
      </c>
      <c r="G48" s="228" t="s">
        <v>1428</v>
      </c>
      <c r="H48" s="214" t="s">
        <v>1428</v>
      </c>
      <c r="I48" s="207" t="s">
        <v>1129</v>
      </c>
      <c r="J48" s="229" t="s">
        <v>127</v>
      </c>
      <c r="K48" s="230" t="s">
        <v>161</v>
      </c>
    </row>
    <row r="49" spans="1:11" ht="58">
      <c r="A49" s="217" t="b">
        <v>0</v>
      </c>
      <c r="B49" s="206" t="s">
        <v>38</v>
      </c>
      <c r="C49" s="206" t="s">
        <v>1142</v>
      </c>
      <c r="D49" s="206" t="b">
        <v>0</v>
      </c>
      <c r="E49" s="206" t="b">
        <v>1</v>
      </c>
      <c r="F49" s="207" t="s">
        <v>1142</v>
      </c>
      <c r="G49" s="228" t="s">
        <v>1429</v>
      </c>
      <c r="H49" s="214" t="s">
        <v>1429</v>
      </c>
      <c r="I49" s="207" t="s">
        <v>1129</v>
      </c>
      <c r="J49" s="229" t="s">
        <v>127</v>
      </c>
      <c r="K49" s="230" t="s">
        <v>161</v>
      </c>
    </row>
    <row r="50" spans="1:11" ht="29">
      <c r="A50" s="194" t="s">
        <v>4</v>
      </c>
      <c r="B50" s="195" t="s">
        <v>5</v>
      </c>
      <c r="C50" s="195" t="s">
        <v>6</v>
      </c>
      <c r="D50" s="195" t="s">
        <v>113</v>
      </c>
      <c r="E50" s="195" t="s">
        <v>114</v>
      </c>
      <c r="F50" s="195" t="s">
        <v>9</v>
      </c>
      <c r="G50" s="195" t="s">
        <v>10</v>
      </c>
      <c r="H50" s="195" t="s">
        <v>11</v>
      </c>
      <c r="I50" s="195" t="s">
        <v>12</v>
      </c>
      <c r="J50" s="195" t="s">
        <v>13</v>
      </c>
      <c r="K50" s="196" t="s">
        <v>14</v>
      </c>
    </row>
    <row r="51" spans="1:11">
      <c r="A51" s="197" t="s">
        <v>1142</v>
      </c>
      <c r="B51" s="198" t="s">
        <v>15</v>
      </c>
      <c r="C51" s="198" t="s">
        <v>1142</v>
      </c>
      <c r="D51" s="198" t="b">
        <v>0</v>
      </c>
      <c r="E51" s="198" t="b">
        <v>1</v>
      </c>
      <c r="F51" s="199" t="s">
        <v>1353</v>
      </c>
      <c r="G51" s="199" t="s">
        <v>1142</v>
      </c>
      <c r="H51" s="199" t="s">
        <v>1142</v>
      </c>
      <c r="I51" s="199" t="s">
        <v>1142</v>
      </c>
      <c r="J51" s="199" t="s">
        <v>1142</v>
      </c>
      <c r="K51" s="200" t="s">
        <v>1142</v>
      </c>
    </row>
    <row r="52" spans="1:11" ht="43.5">
      <c r="A52" s="201" t="s">
        <v>1142</v>
      </c>
      <c r="B52" s="202" t="s">
        <v>17</v>
      </c>
      <c r="C52" s="202" t="s">
        <v>1142</v>
      </c>
      <c r="D52" s="202" t="b">
        <v>0</v>
      </c>
      <c r="E52" s="202" t="b">
        <v>1</v>
      </c>
      <c r="F52" s="202" t="s">
        <v>18</v>
      </c>
      <c r="G52" s="202" t="s">
        <v>1430</v>
      </c>
      <c r="H52" s="202" t="s">
        <v>1431</v>
      </c>
      <c r="I52" s="202" t="s">
        <v>1142</v>
      </c>
      <c r="J52" s="229" t="s">
        <v>127</v>
      </c>
      <c r="K52" s="204" t="s">
        <v>1432</v>
      </c>
    </row>
    <row r="53" spans="1:11">
      <c r="A53" s="205" t="b">
        <v>1</v>
      </c>
      <c r="B53" s="206" t="s">
        <v>21</v>
      </c>
      <c r="C53" s="206" t="s">
        <v>1142</v>
      </c>
      <c r="D53" s="206" t="b">
        <v>0</v>
      </c>
      <c r="E53" s="206" t="b">
        <v>1</v>
      </c>
      <c r="F53" s="207" t="s">
        <v>22</v>
      </c>
      <c r="G53" s="207" t="s">
        <v>60</v>
      </c>
      <c r="H53" s="208" t="s">
        <v>1142</v>
      </c>
      <c r="I53" s="207" t="s">
        <v>1142</v>
      </c>
      <c r="J53" s="207" t="s">
        <v>1142</v>
      </c>
      <c r="K53" s="204" t="s">
        <v>1142</v>
      </c>
    </row>
    <row r="54" spans="1:11">
      <c r="A54" s="205" t="b">
        <v>0</v>
      </c>
      <c r="B54" s="206" t="s">
        <v>24</v>
      </c>
      <c r="C54" s="206" t="s">
        <v>1142</v>
      </c>
      <c r="D54" s="206" t="b">
        <v>0</v>
      </c>
      <c r="E54" s="206" t="b">
        <v>1</v>
      </c>
      <c r="F54" s="207" t="s">
        <v>25</v>
      </c>
      <c r="G54" s="207">
        <v>2</v>
      </c>
      <c r="H54" s="208" t="s">
        <v>1142</v>
      </c>
      <c r="I54" s="207" t="s">
        <v>1142</v>
      </c>
      <c r="J54" s="207" t="s">
        <v>1142</v>
      </c>
      <c r="K54" s="204" t="s">
        <v>1142</v>
      </c>
    </row>
    <row r="55" spans="1:11">
      <c r="A55" s="205" t="b">
        <v>0</v>
      </c>
      <c r="B55" s="206" t="s">
        <v>26</v>
      </c>
      <c r="C55" s="206" t="s">
        <v>1142</v>
      </c>
      <c r="D55" s="206" t="b">
        <v>0</v>
      </c>
      <c r="E55" s="206" t="b">
        <v>1</v>
      </c>
      <c r="F55" s="207" t="s">
        <v>27</v>
      </c>
      <c r="G55" s="207" t="s">
        <v>1142</v>
      </c>
      <c r="H55" s="208" t="s">
        <v>1142</v>
      </c>
      <c r="I55" s="207" t="s">
        <v>1142</v>
      </c>
      <c r="J55" s="207" t="s">
        <v>1142</v>
      </c>
      <c r="K55" s="204" t="s">
        <v>1142</v>
      </c>
    </row>
    <row r="56" spans="1:11">
      <c r="A56" s="205" t="b">
        <v>1</v>
      </c>
      <c r="B56" s="206" t="s">
        <v>28</v>
      </c>
      <c r="C56" s="206" t="s">
        <v>1142</v>
      </c>
      <c r="D56" s="206" t="b">
        <v>0</v>
      </c>
      <c r="E56" s="206" t="b">
        <v>1</v>
      </c>
      <c r="F56" s="207" t="s">
        <v>29</v>
      </c>
      <c r="G56" s="207" t="s">
        <v>30</v>
      </c>
      <c r="H56" s="208" t="s">
        <v>1142</v>
      </c>
      <c r="I56" s="207" t="s">
        <v>1142</v>
      </c>
      <c r="J56" s="207" t="s">
        <v>1142</v>
      </c>
      <c r="K56" s="204" t="s">
        <v>1142</v>
      </c>
    </row>
    <row r="57" spans="1:11" ht="181.5" customHeight="1">
      <c r="A57" s="209" t="s">
        <v>1142</v>
      </c>
      <c r="B57" s="210" t="s">
        <v>31</v>
      </c>
      <c r="C57" s="210" t="s">
        <v>1142</v>
      </c>
      <c r="D57" s="210" t="b">
        <v>0</v>
      </c>
      <c r="E57" s="210" t="b">
        <v>1</v>
      </c>
      <c r="F57" s="211" t="s">
        <v>32</v>
      </c>
      <c r="G57" s="211" t="s">
        <v>1142</v>
      </c>
      <c r="H57" s="211" t="s">
        <v>1142</v>
      </c>
      <c r="I57" s="211" t="s">
        <v>1142</v>
      </c>
      <c r="J57" s="211" t="s">
        <v>1142</v>
      </c>
      <c r="K57" s="210" t="s">
        <v>1357</v>
      </c>
    </row>
    <row r="58" spans="1:11" ht="232">
      <c r="A58" s="205" t="b">
        <v>0</v>
      </c>
      <c r="B58" s="206" t="s">
        <v>35</v>
      </c>
      <c r="C58" s="206" t="s">
        <v>1142</v>
      </c>
      <c r="D58" s="206" t="b">
        <v>0</v>
      </c>
      <c r="E58" s="206" t="b">
        <v>1</v>
      </c>
      <c r="F58" s="212" t="s">
        <v>1358</v>
      </c>
      <c r="G58" s="213" t="s">
        <v>1433</v>
      </c>
      <c r="H58" s="214" t="s">
        <v>1434</v>
      </c>
      <c r="I58" s="207" t="s">
        <v>1129</v>
      </c>
      <c r="J58" s="229" t="s">
        <v>127</v>
      </c>
      <c r="K58" s="204" t="s">
        <v>1142</v>
      </c>
    </row>
    <row r="59" spans="1:11">
      <c r="A59" s="205" t="s">
        <v>1142</v>
      </c>
      <c r="B59" s="206" t="s">
        <v>35</v>
      </c>
      <c r="C59" s="206" t="s">
        <v>1142</v>
      </c>
      <c r="D59" s="206" t="b">
        <v>0</v>
      </c>
      <c r="E59" s="206" t="b">
        <v>1</v>
      </c>
      <c r="F59" s="212" t="s">
        <v>1360</v>
      </c>
      <c r="G59" s="213" t="s">
        <v>1361</v>
      </c>
      <c r="H59" s="214" t="s">
        <v>1362</v>
      </c>
      <c r="I59" s="207" t="s">
        <v>1129</v>
      </c>
      <c r="J59" s="229" t="s">
        <v>127</v>
      </c>
      <c r="K59" s="204" t="s">
        <v>1142</v>
      </c>
    </row>
    <row r="60" spans="1:11" ht="130.5">
      <c r="A60" s="205" t="b">
        <v>0</v>
      </c>
      <c r="B60" s="206" t="s">
        <v>35</v>
      </c>
      <c r="C60" s="206" t="s">
        <v>1142</v>
      </c>
      <c r="D60" s="206" t="b">
        <v>0</v>
      </c>
      <c r="E60" s="206" t="b">
        <v>1</v>
      </c>
      <c r="F60" s="212" t="s">
        <v>1363</v>
      </c>
      <c r="G60" s="213" t="s">
        <v>1435</v>
      </c>
      <c r="H60" s="214" t="s">
        <v>1436</v>
      </c>
      <c r="I60" s="207" t="s">
        <v>1129</v>
      </c>
      <c r="J60" s="229" t="s">
        <v>127</v>
      </c>
      <c r="K60" s="204" t="s">
        <v>1142</v>
      </c>
    </row>
    <row r="61" spans="1:11" ht="116">
      <c r="A61" s="205" t="b">
        <v>0</v>
      </c>
      <c r="B61" s="206" t="s">
        <v>35</v>
      </c>
      <c r="C61" s="206" t="s">
        <v>1142</v>
      </c>
      <c r="D61" s="206" t="b">
        <v>0</v>
      </c>
      <c r="E61" s="206" t="b">
        <v>1</v>
      </c>
      <c r="F61" s="212" t="s">
        <v>1365</v>
      </c>
      <c r="G61" s="213" t="s">
        <v>1366</v>
      </c>
      <c r="H61" s="214" t="s">
        <v>1437</v>
      </c>
      <c r="I61" s="207" t="s">
        <v>1129</v>
      </c>
      <c r="J61" s="229" t="s">
        <v>127</v>
      </c>
      <c r="K61" s="204" t="s">
        <v>1142</v>
      </c>
    </row>
    <row r="62" spans="1:11" ht="43.5">
      <c r="A62" s="205" t="b">
        <v>0</v>
      </c>
      <c r="B62" s="206" t="s">
        <v>35</v>
      </c>
      <c r="C62" s="206" t="s">
        <v>1142</v>
      </c>
      <c r="D62" s="206" t="b">
        <v>0</v>
      </c>
      <c r="E62" s="206" t="b">
        <v>1</v>
      </c>
      <c r="F62" s="212" t="s">
        <v>1367</v>
      </c>
      <c r="G62" s="213" t="s">
        <v>1368</v>
      </c>
      <c r="H62" s="214" t="s">
        <v>1369</v>
      </c>
      <c r="I62" s="207" t="s">
        <v>1129</v>
      </c>
      <c r="J62" s="229" t="s">
        <v>127</v>
      </c>
      <c r="K62" s="204" t="s">
        <v>1142</v>
      </c>
    </row>
    <row r="63" spans="1:11" ht="145">
      <c r="A63" s="205" t="b">
        <v>0</v>
      </c>
      <c r="B63" s="206" t="s">
        <v>35</v>
      </c>
      <c r="C63" s="206" t="s">
        <v>1142</v>
      </c>
      <c r="D63" s="206" t="b">
        <v>0</v>
      </c>
      <c r="E63" s="206" t="b">
        <v>1</v>
      </c>
      <c r="F63" s="212" t="s">
        <v>1370</v>
      </c>
      <c r="G63" s="213" t="s">
        <v>1438</v>
      </c>
      <c r="H63" s="214" t="s">
        <v>1439</v>
      </c>
      <c r="I63" s="207" t="s">
        <v>1129</v>
      </c>
      <c r="J63" s="229" t="s">
        <v>127</v>
      </c>
      <c r="K63" s="204" t="s">
        <v>1142</v>
      </c>
    </row>
    <row r="64" spans="1:11" ht="29">
      <c r="A64" s="205" t="b">
        <v>0</v>
      </c>
      <c r="B64" s="206" t="s">
        <v>35</v>
      </c>
      <c r="C64" s="206" t="s">
        <v>1142</v>
      </c>
      <c r="D64" s="206" t="b">
        <v>0</v>
      </c>
      <c r="E64" s="206" t="b">
        <v>1</v>
      </c>
      <c r="F64" s="212" t="s">
        <v>1373</v>
      </c>
      <c r="G64" s="213" t="s">
        <v>1374</v>
      </c>
      <c r="H64" s="214" t="s">
        <v>1374</v>
      </c>
      <c r="I64" s="207" t="s">
        <v>1129</v>
      </c>
      <c r="J64" s="229" t="s">
        <v>127</v>
      </c>
      <c r="K64" s="204" t="s">
        <v>1142</v>
      </c>
    </row>
    <row r="65" spans="1:11" ht="29">
      <c r="A65" s="215" t="b">
        <v>0</v>
      </c>
      <c r="B65" s="216" t="s">
        <v>35</v>
      </c>
      <c r="C65" s="216" t="s">
        <v>1142</v>
      </c>
      <c r="D65" s="216" t="b">
        <v>0</v>
      </c>
      <c r="E65" s="216" t="b">
        <v>1</v>
      </c>
      <c r="F65" s="231" t="s">
        <v>1375</v>
      </c>
      <c r="G65" s="224" t="s">
        <v>1376</v>
      </c>
      <c r="H65" s="214" t="s">
        <v>1376</v>
      </c>
      <c r="I65" s="207" t="s">
        <v>1129</v>
      </c>
      <c r="J65" s="229" t="s">
        <v>127</v>
      </c>
      <c r="K65" s="204" t="s">
        <v>1142</v>
      </c>
    </row>
    <row r="66" spans="1:11" ht="261">
      <c r="A66" s="217" t="b">
        <v>0</v>
      </c>
      <c r="B66" s="206" t="s">
        <v>35</v>
      </c>
      <c r="C66" s="206" t="s">
        <v>1142</v>
      </c>
      <c r="D66" s="206" t="b">
        <v>0</v>
      </c>
      <c r="E66" s="219" t="b">
        <v>1</v>
      </c>
      <c r="F66" s="232" t="s">
        <v>1377</v>
      </c>
      <c r="G66" s="191" t="s">
        <v>1440</v>
      </c>
      <c r="H66" s="214" t="s">
        <v>1441</v>
      </c>
      <c r="I66" s="207" t="s">
        <v>1129</v>
      </c>
      <c r="J66" s="229" t="s">
        <v>127</v>
      </c>
      <c r="K66" s="204" t="s">
        <v>1142</v>
      </c>
    </row>
    <row r="67" spans="1:11" ht="130.5">
      <c r="A67" s="205" t="b">
        <v>0</v>
      </c>
      <c r="B67" s="206" t="s">
        <v>35</v>
      </c>
      <c r="C67" s="206" t="s">
        <v>1142</v>
      </c>
      <c r="D67" s="206" t="b">
        <v>0</v>
      </c>
      <c r="E67" s="206" t="b">
        <v>1</v>
      </c>
      <c r="F67" s="212" t="s">
        <v>1379</v>
      </c>
      <c r="G67" s="213" t="s">
        <v>1380</v>
      </c>
      <c r="H67" s="214" t="s">
        <v>1380</v>
      </c>
      <c r="I67" s="207" t="s">
        <v>1129</v>
      </c>
      <c r="J67" s="229" t="s">
        <v>127</v>
      </c>
      <c r="K67" s="204" t="s">
        <v>1142</v>
      </c>
    </row>
    <row r="68" spans="1:11" ht="43.5">
      <c r="A68" s="205" t="b">
        <v>0</v>
      </c>
      <c r="B68" s="206" t="s">
        <v>35</v>
      </c>
      <c r="C68" s="206" t="s">
        <v>1142</v>
      </c>
      <c r="D68" s="206" t="b">
        <v>0</v>
      </c>
      <c r="E68" s="206" t="b">
        <v>1</v>
      </c>
      <c r="F68" s="212" t="s">
        <v>1381</v>
      </c>
      <c r="G68" s="224" t="s">
        <v>1382</v>
      </c>
      <c r="H68" s="214" t="s">
        <v>1382</v>
      </c>
      <c r="I68" s="207" t="s">
        <v>1129</v>
      </c>
      <c r="J68" s="229" t="s">
        <v>127</v>
      </c>
      <c r="K68" s="204" t="s">
        <v>1142</v>
      </c>
    </row>
    <row r="69" spans="1:11" ht="275.5">
      <c r="A69" s="205" t="b">
        <v>0</v>
      </c>
      <c r="B69" s="206" t="s">
        <v>35</v>
      </c>
      <c r="C69" s="206" t="s">
        <v>1142</v>
      </c>
      <c r="D69" s="206" t="b">
        <v>0</v>
      </c>
      <c r="E69" s="206" t="b">
        <v>1</v>
      </c>
      <c r="F69" s="233" t="s">
        <v>1383</v>
      </c>
      <c r="G69" s="191" t="s">
        <v>1442</v>
      </c>
      <c r="H69" s="214" t="s">
        <v>1442</v>
      </c>
      <c r="I69" s="207" t="s">
        <v>1142</v>
      </c>
      <c r="J69" s="229" t="s">
        <v>127</v>
      </c>
      <c r="K69" s="204" t="s">
        <v>1142</v>
      </c>
    </row>
    <row r="70" spans="1:11" ht="101.5">
      <c r="A70" s="205" t="b">
        <v>0</v>
      </c>
      <c r="B70" s="206" t="s">
        <v>35</v>
      </c>
      <c r="C70" s="206" t="s">
        <v>1142</v>
      </c>
      <c r="D70" s="206" t="b">
        <v>0</v>
      </c>
      <c r="E70" s="206" t="b">
        <v>1</v>
      </c>
      <c r="F70" s="212" t="s">
        <v>1385</v>
      </c>
      <c r="G70" s="213" t="s">
        <v>1386</v>
      </c>
      <c r="H70" s="214" t="s">
        <v>1387</v>
      </c>
      <c r="I70" s="207" t="s">
        <v>1129</v>
      </c>
      <c r="J70" s="229" t="s">
        <v>127</v>
      </c>
      <c r="K70" s="204" t="s">
        <v>1142</v>
      </c>
    </row>
    <row r="71" spans="1:11">
      <c r="A71" s="205" t="b">
        <v>0</v>
      </c>
      <c r="B71" s="206" t="s">
        <v>35</v>
      </c>
      <c r="C71" s="206" t="s">
        <v>1142</v>
      </c>
      <c r="D71" s="206" t="b">
        <v>0</v>
      </c>
      <c r="E71" s="206" t="b">
        <v>1</v>
      </c>
      <c r="F71" s="212" t="s">
        <v>1303</v>
      </c>
      <c r="G71" s="213" t="s">
        <v>1388</v>
      </c>
      <c r="H71" s="214" t="s">
        <v>1388</v>
      </c>
      <c r="I71" s="207" t="s">
        <v>1129</v>
      </c>
      <c r="J71" s="229" t="s">
        <v>127</v>
      </c>
      <c r="K71" s="204" t="s">
        <v>1142</v>
      </c>
    </row>
    <row r="72" spans="1:11" ht="29">
      <c r="A72" s="205" t="b">
        <v>0</v>
      </c>
      <c r="B72" s="206" t="s">
        <v>35</v>
      </c>
      <c r="C72" s="206" t="s">
        <v>1142</v>
      </c>
      <c r="D72" s="206" t="b">
        <v>0</v>
      </c>
      <c r="E72" s="206" t="b">
        <v>1</v>
      </c>
      <c r="F72" s="212" t="s">
        <v>1389</v>
      </c>
      <c r="G72" s="213" t="s">
        <v>1390</v>
      </c>
      <c r="H72" s="214" t="s">
        <v>1390</v>
      </c>
      <c r="I72" s="207" t="s">
        <v>1129</v>
      </c>
      <c r="J72" s="229" t="s">
        <v>127</v>
      </c>
      <c r="K72" s="204" t="s">
        <v>1142</v>
      </c>
    </row>
    <row r="73" spans="1:11" ht="29">
      <c r="A73" s="205" t="b">
        <v>0</v>
      </c>
      <c r="B73" s="206" t="s">
        <v>35</v>
      </c>
      <c r="C73" s="206" t="s">
        <v>1142</v>
      </c>
      <c r="D73" s="206" t="b">
        <v>0</v>
      </c>
      <c r="E73" s="206" t="b">
        <v>1</v>
      </c>
      <c r="F73" s="212" t="s">
        <v>1202</v>
      </c>
      <c r="G73" s="213" t="s">
        <v>1391</v>
      </c>
      <c r="H73" s="214" t="s">
        <v>1391</v>
      </c>
      <c r="I73" s="207" t="s">
        <v>1129</v>
      </c>
      <c r="J73" s="229" t="s">
        <v>127</v>
      </c>
      <c r="K73" s="204" t="s">
        <v>1142</v>
      </c>
    </row>
    <row r="74" spans="1:11">
      <c r="A74" s="205" t="b">
        <v>0</v>
      </c>
      <c r="B74" s="206" t="s">
        <v>35</v>
      </c>
      <c r="C74" s="206" t="s">
        <v>1142</v>
      </c>
      <c r="D74" s="206" t="b">
        <v>0</v>
      </c>
      <c r="E74" s="206" t="b">
        <v>1</v>
      </c>
      <c r="F74" s="212" t="s">
        <v>1392</v>
      </c>
      <c r="G74" s="213" t="s">
        <v>1393</v>
      </c>
      <c r="H74" s="226" t="s">
        <v>1393</v>
      </c>
      <c r="I74" s="207" t="s">
        <v>1129</v>
      </c>
      <c r="J74" s="229" t="s">
        <v>127</v>
      </c>
      <c r="K74" s="204" t="s">
        <v>1142</v>
      </c>
    </row>
    <row r="75" spans="1:11" ht="43.5">
      <c r="A75" s="205" t="b">
        <v>0</v>
      </c>
      <c r="B75" s="206" t="s">
        <v>35</v>
      </c>
      <c r="C75" s="206" t="s">
        <v>1142</v>
      </c>
      <c r="D75" s="206" t="b">
        <v>0</v>
      </c>
      <c r="E75" s="206" t="b">
        <v>1</v>
      </c>
      <c r="F75" s="212" t="s">
        <v>1141</v>
      </c>
      <c r="G75" s="213" t="s">
        <v>1394</v>
      </c>
      <c r="H75" s="214" t="s">
        <v>1394</v>
      </c>
      <c r="I75" s="207" t="s">
        <v>1129</v>
      </c>
      <c r="J75" s="229" t="s">
        <v>127</v>
      </c>
      <c r="K75" s="204" t="s">
        <v>1142</v>
      </c>
    </row>
    <row r="76" spans="1:11" ht="58">
      <c r="A76" s="205" t="b">
        <v>0</v>
      </c>
      <c r="B76" s="206" t="s">
        <v>35</v>
      </c>
      <c r="C76" s="206" t="s">
        <v>1142</v>
      </c>
      <c r="D76" s="206" t="b">
        <v>0</v>
      </c>
      <c r="E76" s="206" t="b">
        <v>1</v>
      </c>
      <c r="F76" s="212" t="s">
        <v>1395</v>
      </c>
      <c r="G76" s="213" t="s">
        <v>1396</v>
      </c>
      <c r="H76" s="214" t="s">
        <v>1397</v>
      </c>
      <c r="I76" s="207" t="s">
        <v>1129</v>
      </c>
      <c r="J76" s="229" t="s">
        <v>127</v>
      </c>
      <c r="K76" s="204" t="s">
        <v>1142</v>
      </c>
    </row>
    <row r="77" spans="1:11" ht="29">
      <c r="A77" s="205" t="b">
        <v>0</v>
      </c>
      <c r="B77" s="206" t="s">
        <v>35</v>
      </c>
      <c r="C77" s="206" t="s">
        <v>1142</v>
      </c>
      <c r="D77" s="206" t="b">
        <v>0</v>
      </c>
      <c r="E77" s="206" t="b">
        <v>1</v>
      </c>
      <c r="F77" s="212" t="s">
        <v>1398</v>
      </c>
      <c r="G77" s="213" t="s">
        <v>1399</v>
      </c>
      <c r="H77" s="214" t="s">
        <v>1399</v>
      </c>
      <c r="I77" s="207" t="s">
        <v>1129</v>
      </c>
      <c r="J77" s="229" t="s">
        <v>127</v>
      </c>
      <c r="K77" s="204" t="s">
        <v>1142</v>
      </c>
    </row>
    <row r="78" spans="1:11" ht="29">
      <c r="A78" s="205" t="b">
        <v>0</v>
      </c>
      <c r="B78" s="206" t="s">
        <v>35</v>
      </c>
      <c r="C78" s="206" t="s">
        <v>1142</v>
      </c>
      <c r="D78" s="206" t="b">
        <v>0</v>
      </c>
      <c r="E78" s="206" t="b">
        <v>1</v>
      </c>
      <c r="F78" s="212" t="s">
        <v>1400</v>
      </c>
      <c r="G78" s="213" t="s">
        <v>1137</v>
      </c>
      <c r="H78" s="214" t="s">
        <v>1401</v>
      </c>
      <c r="I78" s="207" t="s">
        <v>1129</v>
      </c>
      <c r="J78" s="229" t="s">
        <v>127</v>
      </c>
      <c r="K78" s="204" t="s">
        <v>1142</v>
      </c>
    </row>
    <row r="79" spans="1:11" ht="43.5">
      <c r="A79" s="205" t="b">
        <v>0</v>
      </c>
      <c r="B79" s="206" t="s">
        <v>118</v>
      </c>
      <c r="C79" s="206" t="s">
        <v>1142</v>
      </c>
      <c r="D79" s="206" t="b">
        <v>0</v>
      </c>
      <c r="E79" s="206" t="b">
        <v>1</v>
      </c>
      <c r="F79" s="212" t="s">
        <v>34</v>
      </c>
      <c r="G79" s="234" t="s">
        <v>1402</v>
      </c>
      <c r="H79" s="230" t="s">
        <v>1443</v>
      </c>
      <c r="I79" s="207" t="s">
        <v>1129</v>
      </c>
      <c r="J79" s="229" t="s">
        <v>127</v>
      </c>
      <c r="K79" s="204" t="s">
        <v>1142</v>
      </c>
    </row>
    <row r="80" spans="1:11">
      <c r="A80" s="205" t="b">
        <v>0</v>
      </c>
      <c r="B80" s="206" t="s">
        <v>35</v>
      </c>
      <c r="C80" s="206" t="s">
        <v>1142</v>
      </c>
      <c r="D80" s="206" t="b">
        <v>0</v>
      </c>
      <c r="E80" s="206" t="b">
        <v>1</v>
      </c>
      <c r="F80" s="212" t="s">
        <v>1403</v>
      </c>
      <c r="G80" s="213" t="s">
        <v>1404</v>
      </c>
      <c r="H80" s="214" t="s">
        <v>1444</v>
      </c>
      <c r="I80" s="207" t="s">
        <v>1129</v>
      </c>
      <c r="J80" s="229" t="s">
        <v>127</v>
      </c>
      <c r="K80" s="204" t="s">
        <v>1142</v>
      </c>
    </row>
    <row r="81" spans="1:11">
      <c r="A81" s="205" t="b">
        <v>0</v>
      </c>
      <c r="B81" s="206" t="s">
        <v>35</v>
      </c>
      <c r="C81" s="206" t="s">
        <v>1142</v>
      </c>
      <c r="D81" s="206" t="b">
        <v>0</v>
      </c>
      <c r="E81" s="206" t="b">
        <v>1</v>
      </c>
      <c r="F81" s="212" t="s">
        <v>1363</v>
      </c>
      <c r="G81" s="213" t="s">
        <v>1405</v>
      </c>
      <c r="H81" s="214" t="s">
        <v>1405</v>
      </c>
      <c r="I81" s="207" t="s">
        <v>1129</v>
      </c>
      <c r="J81" s="229" t="s">
        <v>127</v>
      </c>
      <c r="K81" s="204" t="s">
        <v>1142</v>
      </c>
    </row>
    <row r="82" spans="1:11" ht="29">
      <c r="A82" s="205" t="b">
        <v>0</v>
      </c>
      <c r="B82" s="206" t="s">
        <v>35</v>
      </c>
      <c r="C82" s="206" t="s">
        <v>1142</v>
      </c>
      <c r="D82" s="206" t="b">
        <v>0</v>
      </c>
      <c r="E82" s="206" t="b">
        <v>1</v>
      </c>
      <c r="F82" s="212" t="s">
        <v>1406</v>
      </c>
      <c r="G82" s="213" t="s">
        <v>1407</v>
      </c>
      <c r="H82" s="214" t="s">
        <v>1407</v>
      </c>
      <c r="I82" s="207" t="s">
        <v>1129</v>
      </c>
      <c r="J82" s="229" t="s">
        <v>127</v>
      </c>
      <c r="K82" s="204" t="s">
        <v>1142</v>
      </c>
    </row>
    <row r="83" spans="1:11" ht="159.5">
      <c r="A83" s="205" t="b">
        <v>0</v>
      </c>
      <c r="B83" s="206" t="s">
        <v>35</v>
      </c>
      <c r="C83" s="206" t="s">
        <v>1142</v>
      </c>
      <c r="D83" s="206" t="b">
        <v>0</v>
      </c>
      <c r="E83" s="206" t="b">
        <v>1</v>
      </c>
      <c r="F83" s="212" t="s">
        <v>1408</v>
      </c>
      <c r="G83" s="213" t="s">
        <v>1409</v>
      </c>
      <c r="H83" s="214" t="s">
        <v>1409</v>
      </c>
      <c r="I83" s="207" t="s">
        <v>1129</v>
      </c>
      <c r="J83" s="229" t="s">
        <v>127</v>
      </c>
      <c r="K83" s="204" t="s">
        <v>1142</v>
      </c>
    </row>
    <row r="84" spans="1:11" ht="58">
      <c r="A84" s="205" t="b">
        <v>0</v>
      </c>
      <c r="B84" s="206" t="s">
        <v>35</v>
      </c>
      <c r="C84" s="206" t="s">
        <v>1142</v>
      </c>
      <c r="D84" s="206" t="b">
        <v>0</v>
      </c>
      <c r="E84" s="206" t="b">
        <v>1</v>
      </c>
      <c r="F84" s="212" t="s">
        <v>1410</v>
      </c>
      <c r="G84" s="213" t="s">
        <v>1445</v>
      </c>
      <c r="H84" s="214" t="s">
        <v>1411</v>
      </c>
      <c r="I84" s="207" t="s">
        <v>1129</v>
      </c>
      <c r="J84" s="229" t="s">
        <v>127</v>
      </c>
      <c r="K84" s="204" t="s">
        <v>1142</v>
      </c>
    </row>
    <row r="85" spans="1:11" ht="43.5">
      <c r="A85" s="205" t="b">
        <v>0</v>
      </c>
      <c r="B85" s="206" t="s">
        <v>35</v>
      </c>
      <c r="C85" s="206" t="s">
        <v>1142</v>
      </c>
      <c r="D85" s="206" t="b">
        <v>0</v>
      </c>
      <c r="E85" s="206" t="b">
        <v>1</v>
      </c>
      <c r="F85" s="212" t="s">
        <v>1379</v>
      </c>
      <c r="G85" s="213" t="s">
        <v>1412</v>
      </c>
      <c r="H85" s="214" t="s">
        <v>1412</v>
      </c>
      <c r="I85" s="207" t="s">
        <v>35</v>
      </c>
      <c r="J85" s="229" t="s">
        <v>127</v>
      </c>
      <c r="K85" s="204" t="b">
        <v>0</v>
      </c>
    </row>
    <row r="86" spans="1:11" ht="58">
      <c r="A86" s="205" t="b">
        <v>0</v>
      </c>
      <c r="B86" s="206" t="s">
        <v>35</v>
      </c>
      <c r="C86" s="206" t="s">
        <v>1142</v>
      </c>
      <c r="D86" s="206" t="b">
        <v>0</v>
      </c>
      <c r="E86" s="206" t="b">
        <v>1</v>
      </c>
      <c r="F86" s="212" t="s">
        <v>1413</v>
      </c>
      <c r="G86" s="213" t="s">
        <v>1414</v>
      </c>
      <c r="H86" s="214" t="s">
        <v>1414</v>
      </c>
      <c r="I86" s="207" t="s">
        <v>1142</v>
      </c>
      <c r="J86" s="229" t="s">
        <v>127</v>
      </c>
      <c r="K86" s="204" t="s">
        <v>1142</v>
      </c>
    </row>
    <row r="87" spans="1:11" ht="29">
      <c r="A87" s="205" t="b">
        <v>0</v>
      </c>
      <c r="B87" s="206" t="s">
        <v>35</v>
      </c>
      <c r="C87" s="206" t="s">
        <v>1142</v>
      </c>
      <c r="D87" s="206" t="b">
        <v>0</v>
      </c>
      <c r="E87" s="206" t="b">
        <v>1</v>
      </c>
      <c r="F87" s="212" t="s">
        <v>1381</v>
      </c>
      <c r="G87" s="213" t="s">
        <v>1415</v>
      </c>
      <c r="H87" s="214" t="s">
        <v>1415</v>
      </c>
      <c r="I87" s="207" t="s">
        <v>1142</v>
      </c>
      <c r="J87" s="229" t="s">
        <v>127</v>
      </c>
      <c r="K87" s="204" t="s">
        <v>1142</v>
      </c>
    </row>
    <row r="88" spans="1:11" ht="29">
      <c r="A88" s="205" t="s">
        <v>1142</v>
      </c>
      <c r="B88" s="206" t="s">
        <v>1142</v>
      </c>
      <c r="C88" s="206" t="s">
        <v>1142</v>
      </c>
      <c r="D88" s="206" t="s">
        <v>1142</v>
      </c>
      <c r="E88" s="206" t="s">
        <v>1142</v>
      </c>
      <c r="F88" s="212" t="s">
        <v>1416</v>
      </c>
      <c r="G88" s="213" t="s">
        <v>1417</v>
      </c>
      <c r="H88" s="214" t="s">
        <v>1418</v>
      </c>
      <c r="I88" s="207" t="s">
        <v>1142</v>
      </c>
      <c r="J88" s="229" t="s">
        <v>127</v>
      </c>
      <c r="K88" s="204" t="s">
        <v>1142</v>
      </c>
    </row>
    <row r="89" spans="1:11" ht="43.5">
      <c r="A89" s="205" t="b">
        <v>0</v>
      </c>
      <c r="B89" s="206" t="s">
        <v>35</v>
      </c>
      <c r="C89" s="206" t="s">
        <v>1142</v>
      </c>
      <c r="D89" s="206" t="b">
        <v>0</v>
      </c>
      <c r="E89" s="206" t="b">
        <v>1</v>
      </c>
      <c r="F89" s="212" t="s">
        <v>1419</v>
      </c>
      <c r="G89" s="213" t="s">
        <v>1420</v>
      </c>
      <c r="H89" s="214" t="s">
        <v>1421</v>
      </c>
      <c r="I89" s="207" t="s">
        <v>1142</v>
      </c>
      <c r="J89" s="229" t="s">
        <v>127</v>
      </c>
      <c r="K89" s="204" t="s">
        <v>1142</v>
      </c>
    </row>
    <row r="90" spans="1:11" ht="409.5">
      <c r="A90" s="205" t="b">
        <v>0</v>
      </c>
      <c r="B90" s="206" t="s">
        <v>35</v>
      </c>
      <c r="C90" s="206" t="s">
        <v>1142</v>
      </c>
      <c r="D90" s="206" t="b">
        <v>0</v>
      </c>
      <c r="E90" s="206" t="b">
        <v>1</v>
      </c>
      <c r="F90" s="212" t="s">
        <v>1422</v>
      </c>
      <c r="G90" s="213" t="s">
        <v>1446</v>
      </c>
      <c r="H90" s="214" t="s">
        <v>1446</v>
      </c>
      <c r="I90" s="207" t="s">
        <v>1142</v>
      </c>
      <c r="J90" s="229" t="s">
        <v>127</v>
      </c>
      <c r="K90" s="204" t="s">
        <v>1142</v>
      </c>
    </row>
    <row r="91" spans="1:11">
      <c r="A91" s="227" t="s">
        <v>1142</v>
      </c>
      <c r="B91" s="210" t="s">
        <v>36</v>
      </c>
      <c r="C91" s="210" t="s">
        <v>1142</v>
      </c>
      <c r="D91" s="210" t="b">
        <v>0</v>
      </c>
      <c r="E91" s="210" t="b">
        <v>1</v>
      </c>
      <c r="F91" s="211" t="s">
        <v>37</v>
      </c>
      <c r="G91" s="210" t="s">
        <v>1142</v>
      </c>
      <c r="H91" s="211" t="s">
        <v>1142</v>
      </c>
      <c r="I91" s="211" t="s">
        <v>1142</v>
      </c>
      <c r="J91" s="211" t="s">
        <v>1142</v>
      </c>
      <c r="K91" s="211" t="s">
        <v>1142</v>
      </c>
    </row>
    <row r="92" spans="1:11" ht="159.5">
      <c r="A92" s="217" t="b">
        <v>0</v>
      </c>
      <c r="B92" s="206" t="s">
        <v>38</v>
      </c>
      <c r="C92" s="206" t="s">
        <v>1142</v>
      </c>
      <c r="D92" s="206" t="b">
        <v>0</v>
      </c>
      <c r="E92" s="206" t="b">
        <v>1</v>
      </c>
      <c r="F92" s="207" t="s">
        <v>1142</v>
      </c>
      <c r="G92" s="228" t="s">
        <v>1425</v>
      </c>
      <c r="H92" s="214" t="s">
        <v>1426</v>
      </c>
      <c r="I92" s="207" t="s">
        <v>1129</v>
      </c>
      <c r="J92" s="229" t="s">
        <v>127</v>
      </c>
      <c r="K92" s="230" t="s">
        <v>161</v>
      </c>
    </row>
    <row r="93" spans="1:11" ht="43.5">
      <c r="A93" s="217" t="b">
        <v>0</v>
      </c>
      <c r="B93" s="206" t="s">
        <v>38</v>
      </c>
      <c r="C93" s="206" t="s">
        <v>1142</v>
      </c>
      <c r="D93" s="206" t="b">
        <v>0</v>
      </c>
      <c r="E93" s="206" t="b">
        <v>1</v>
      </c>
      <c r="F93" s="207" t="s">
        <v>1142</v>
      </c>
      <c r="G93" s="228" t="s">
        <v>1427</v>
      </c>
      <c r="H93" s="214" t="s">
        <v>1427</v>
      </c>
      <c r="I93" s="207" t="s">
        <v>1129</v>
      </c>
      <c r="J93" s="229" t="s">
        <v>127</v>
      </c>
      <c r="K93" s="230" t="s">
        <v>161</v>
      </c>
    </row>
    <row r="94" spans="1:11" ht="87">
      <c r="A94" s="217" t="b">
        <v>0</v>
      </c>
      <c r="B94" s="206" t="s">
        <v>38</v>
      </c>
      <c r="C94" s="206" t="s">
        <v>1142</v>
      </c>
      <c r="D94" s="206" t="b">
        <v>0</v>
      </c>
      <c r="E94" s="206" t="b">
        <v>1</v>
      </c>
      <c r="F94" s="207" t="s">
        <v>1142</v>
      </c>
      <c r="G94" s="228" t="s">
        <v>1428</v>
      </c>
      <c r="H94" s="214" t="s">
        <v>1428</v>
      </c>
      <c r="I94" s="207" t="s">
        <v>1129</v>
      </c>
      <c r="J94" s="229" t="s">
        <v>127</v>
      </c>
      <c r="K94" s="230" t="s">
        <v>161</v>
      </c>
    </row>
    <row r="95" spans="1:11" ht="58">
      <c r="A95" s="217" t="b">
        <v>0</v>
      </c>
      <c r="B95" s="206" t="s">
        <v>38</v>
      </c>
      <c r="C95" s="206" t="s">
        <v>1142</v>
      </c>
      <c r="D95" s="206" t="b">
        <v>0</v>
      </c>
      <c r="E95" s="206" t="b">
        <v>1</v>
      </c>
      <c r="F95" s="207" t="s">
        <v>1142</v>
      </c>
      <c r="G95" s="228" t="s">
        <v>1429</v>
      </c>
      <c r="H95" s="214" t="s">
        <v>1429</v>
      </c>
      <c r="I95" s="207" t="s">
        <v>1129</v>
      </c>
      <c r="J95" s="229" t="s">
        <v>127</v>
      </c>
      <c r="K95" s="230" t="s">
        <v>161</v>
      </c>
    </row>
    <row r="96" spans="1:11" ht="29">
      <c r="A96" s="235" t="s">
        <v>4</v>
      </c>
      <c r="B96" s="236" t="s">
        <v>5</v>
      </c>
      <c r="C96" s="236" t="s">
        <v>6</v>
      </c>
      <c r="D96" s="236" t="s">
        <v>113</v>
      </c>
      <c r="E96" s="236" t="s">
        <v>114</v>
      </c>
      <c r="F96" s="236" t="s">
        <v>9</v>
      </c>
      <c r="G96" s="236" t="s">
        <v>10</v>
      </c>
      <c r="H96" s="236" t="s">
        <v>11</v>
      </c>
      <c r="I96" s="236" t="s">
        <v>12</v>
      </c>
      <c r="J96" s="236" t="s">
        <v>13</v>
      </c>
      <c r="K96" s="236" t="s">
        <v>14</v>
      </c>
    </row>
    <row r="97" spans="1:11">
      <c r="A97" s="237" t="s">
        <v>1142</v>
      </c>
      <c r="B97" s="198" t="s">
        <v>15</v>
      </c>
      <c r="C97" s="198" t="s">
        <v>1142</v>
      </c>
      <c r="D97" s="198" t="b">
        <v>0</v>
      </c>
      <c r="E97" s="198" t="b">
        <v>1</v>
      </c>
      <c r="F97" s="199" t="s">
        <v>1353</v>
      </c>
      <c r="G97" s="198" t="s">
        <v>1142</v>
      </c>
      <c r="H97" s="199" t="s">
        <v>1142</v>
      </c>
      <c r="I97" s="199" t="s">
        <v>1142</v>
      </c>
      <c r="J97" s="199" t="s">
        <v>1142</v>
      </c>
      <c r="K97" s="199" t="s">
        <v>1142</v>
      </c>
    </row>
    <row r="98" spans="1:11">
      <c r="A98" s="238" t="s">
        <v>1142</v>
      </c>
      <c r="B98" s="202" t="s">
        <v>17</v>
      </c>
      <c r="C98" s="202" t="s">
        <v>1142</v>
      </c>
      <c r="D98" s="202" t="b">
        <v>0</v>
      </c>
      <c r="E98" s="202" t="b">
        <v>1</v>
      </c>
      <c r="F98" s="202" t="s">
        <v>18</v>
      </c>
      <c r="G98" s="202" t="s">
        <v>1447</v>
      </c>
      <c r="H98" s="202" t="s">
        <v>1142</v>
      </c>
      <c r="I98" s="202" t="s">
        <v>1142</v>
      </c>
      <c r="J98" s="203" t="s">
        <v>127</v>
      </c>
      <c r="K98" s="226" t="s">
        <v>1448</v>
      </c>
    </row>
    <row r="99" spans="1:11">
      <c r="A99" s="217" t="b">
        <v>1</v>
      </c>
      <c r="B99" s="206" t="s">
        <v>21</v>
      </c>
      <c r="C99" s="206" t="s">
        <v>1142</v>
      </c>
      <c r="D99" s="206" t="b">
        <v>0</v>
      </c>
      <c r="E99" s="206" t="b">
        <v>1</v>
      </c>
      <c r="F99" s="207" t="s">
        <v>22</v>
      </c>
      <c r="G99" s="212" t="s">
        <v>60</v>
      </c>
      <c r="H99" s="208" t="s">
        <v>1142</v>
      </c>
      <c r="I99" s="207" t="s">
        <v>1142</v>
      </c>
      <c r="J99" s="207" t="s">
        <v>1142</v>
      </c>
      <c r="K99" s="226" t="s">
        <v>1142</v>
      </c>
    </row>
    <row r="100" spans="1:11">
      <c r="A100" s="217" t="b">
        <v>0</v>
      </c>
      <c r="B100" s="206" t="s">
        <v>24</v>
      </c>
      <c r="C100" s="206" t="s">
        <v>1142</v>
      </c>
      <c r="D100" s="206" t="b">
        <v>0</v>
      </c>
      <c r="E100" s="206" t="b">
        <v>1</v>
      </c>
      <c r="F100" s="207" t="s">
        <v>25</v>
      </c>
      <c r="G100" s="212">
        <v>2</v>
      </c>
      <c r="H100" s="208" t="s">
        <v>1142</v>
      </c>
      <c r="I100" s="207" t="s">
        <v>1142</v>
      </c>
      <c r="J100" s="207" t="s">
        <v>1142</v>
      </c>
      <c r="K100" s="226" t="s">
        <v>1142</v>
      </c>
    </row>
    <row r="101" spans="1:11">
      <c r="A101" s="217" t="b">
        <v>0</v>
      </c>
      <c r="B101" s="206" t="s">
        <v>26</v>
      </c>
      <c r="C101" s="206" t="s">
        <v>1142</v>
      </c>
      <c r="D101" s="206" t="b">
        <v>0</v>
      </c>
      <c r="E101" s="206" t="b">
        <v>1</v>
      </c>
      <c r="F101" s="207" t="s">
        <v>27</v>
      </c>
      <c r="G101" s="212" t="s">
        <v>1142</v>
      </c>
      <c r="H101" s="208" t="s">
        <v>1142</v>
      </c>
      <c r="I101" s="207" t="s">
        <v>1142</v>
      </c>
      <c r="J101" s="207" t="s">
        <v>1142</v>
      </c>
      <c r="K101" s="226" t="s">
        <v>1142</v>
      </c>
    </row>
    <row r="102" spans="1:11">
      <c r="A102" s="217" t="b">
        <v>1</v>
      </c>
      <c r="B102" s="206" t="s">
        <v>28</v>
      </c>
      <c r="C102" s="206" t="s">
        <v>1142</v>
      </c>
      <c r="D102" s="206" t="b">
        <v>0</v>
      </c>
      <c r="E102" s="206" t="b">
        <v>1</v>
      </c>
      <c r="F102" s="207" t="s">
        <v>29</v>
      </c>
      <c r="G102" s="212" t="s">
        <v>30</v>
      </c>
      <c r="H102" s="208" t="s">
        <v>1142</v>
      </c>
      <c r="I102" s="207" t="s">
        <v>1142</v>
      </c>
      <c r="J102" s="207" t="s">
        <v>1142</v>
      </c>
      <c r="K102" s="226" t="s">
        <v>1142</v>
      </c>
    </row>
    <row r="103" spans="1:11" ht="257.25" customHeight="1">
      <c r="A103" s="239" t="s">
        <v>1142</v>
      </c>
      <c r="B103" s="210" t="s">
        <v>31</v>
      </c>
      <c r="C103" s="210" t="s">
        <v>1142</v>
      </c>
      <c r="D103" s="210" t="b">
        <v>0</v>
      </c>
      <c r="E103" s="210" t="b">
        <v>1</v>
      </c>
      <c r="F103" s="211" t="s">
        <v>32</v>
      </c>
      <c r="G103" s="210" t="s">
        <v>1142</v>
      </c>
      <c r="H103" s="211" t="s">
        <v>1142</v>
      </c>
      <c r="I103" s="211" t="s">
        <v>1142</v>
      </c>
      <c r="J103" s="211" t="s">
        <v>1142</v>
      </c>
      <c r="K103" s="210" t="s">
        <v>1449</v>
      </c>
    </row>
    <row r="104" spans="1:11" ht="409.5">
      <c r="A104" s="217" t="b">
        <v>0</v>
      </c>
      <c r="B104" s="206" t="s">
        <v>35</v>
      </c>
      <c r="C104" s="206" t="s">
        <v>1142</v>
      </c>
      <c r="D104" s="206" t="b">
        <v>0</v>
      </c>
      <c r="E104" s="206" t="b">
        <v>1</v>
      </c>
      <c r="F104" s="212" t="s">
        <v>1450</v>
      </c>
      <c r="G104" s="213" t="s">
        <v>1451</v>
      </c>
      <c r="H104" s="214" t="s">
        <v>1142</v>
      </c>
      <c r="I104" s="212" t="s">
        <v>1129</v>
      </c>
      <c r="J104" s="203" t="s">
        <v>127</v>
      </c>
      <c r="K104" s="214" t="s">
        <v>1142</v>
      </c>
    </row>
    <row r="105" spans="1:11" ht="130.5">
      <c r="A105" s="217" t="b">
        <v>0</v>
      </c>
      <c r="B105" s="206" t="s">
        <v>35</v>
      </c>
      <c r="C105" s="206" t="s">
        <v>1142</v>
      </c>
      <c r="D105" s="206" t="b">
        <v>0</v>
      </c>
      <c r="E105" s="206" t="b">
        <v>1</v>
      </c>
      <c r="F105" s="212" t="s">
        <v>1452</v>
      </c>
      <c r="G105" s="213" t="s">
        <v>1453</v>
      </c>
      <c r="H105" s="214" t="s">
        <v>1142</v>
      </c>
      <c r="I105" s="207" t="s">
        <v>1129</v>
      </c>
      <c r="J105" s="203" t="s">
        <v>127</v>
      </c>
      <c r="K105" s="226" t="s">
        <v>1142</v>
      </c>
    </row>
    <row r="106" spans="1:11">
      <c r="A106" s="217" t="b">
        <v>0</v>
      </c>
      <c r="B106" s="206" t="s">
        <v>35</v>
      </c>
      <c r="C106" s="206" t="s">
        <v>1142</v>
      </c>
      <c r="D106" s="206" t="b">
        <v>0</v>
      </c>
      <c r="E106" s="206" t="b">
        <v>1</v>
      </c>
      <c r="F106" s="212" t="s">
        <v>1454</v>
      </c>
      <c r="G106" s="213" t="s">
        <v>1455</v>
      </c>
      <c r="H106" s="214" t="s">
        <v>1142</v>
      </c>
      <c r="I106" s="207" t="s">
        <v>1129</v>
      </c>
      <c r="J106" s="203" t="s">
        <v>127</v>
      </c>
      <c r="K106" s="226" t="s">
        <v>1142</v>
      </c>
    </row>
    <row r="107" spans="1:11" ht="72.5">
      <c r="A107" s="217" t="b">
        <v>0</v>
      </c>
      <c r="B107" s="206" t="s">
        <v>35</v>
      </c>
      <c r="C107" s="206" t="s">
        <v>1142</v>
      </c>
      <c r="D107" s="206" t="b">
        <v>0</v>
      </c>
      <c r="E107" s="206" t="b">
        <v>1</v>
      </c>
      <c r="F107" s="212" t="s">
        <v>1456</v>
      </c>
      <c r="G107" s="213" t="s">
        <v>1457</v>
      </c>
      <c r="H107" s="214" t="s">
        <v>1142</v>
      </c>
      <c r="I107" s="207" t="s">
        <v>1129</v>
      </c>
      <c r="J107" s="203" t="s">
        <v>127</v>
      </c>
      <c r="K107" s="226" t="s">
        <v>1142</v>
      </c>
    </row>
    <row r="108" spans="1:11" ht="72.5">
      <c r="A108" s="217" t="b">
        <v>0</v>
      </c>
      <c r="B108" s="206" t="s">
        <v>35</v>
      </c>
      <c r="C108" s="206" t="s">
        <v>1142</v>
      </c>
      <c r="D108" s="206" t="b">
        <v>0</v>
      </c>
      <c r="E108" s="206" t="b">
        <v>1</v>
      </c>
      <c r="F108" s="212" t="s">
        <v>1458</v>
      </c>
      <c r="G108" s="213" t="s">
        <v>1459</v>
      </c>
      <c r="H108" s="214" t="s">
        <v>1142</v>
      </c>
      <c r="I108" s="207" t="s">
        <v>1129</v>
      </c>
      <c r="J108" s="203" t="s">
        <v>127</v>
      </c>
      <c r="K108" s="226" t="s">
        <v>1142</v>
      </c>
    </row>
    <row r="109" spans="1:11" ht="72.5">
      <c r="A109" s="217" t="b">
        <v>0</v>
      </c>
      <c r="B109" s="206" t="s">
        <v>35</v>
      </c>
      <c r="C109" s="206" t="s">
        <v>1142</v>
      </c>
      <c r="D109" s="206" t="b">
        <v>0</v>
      </c>
      <c r="E109" s="206" t="b">
        <v>1</v>
      </c>
      <c r="F109" s="212" t="s">
        <v>1460</v>
      </c>
      <c r="G109" s="213" t="s">
        <v>1461</v>
      </c>
      <c r="H109" s="214" t="s">
        <v>1142</v>
      </c>
      <c r="I109" s="207" t="s">
        <v>1129</v>
      </c>
      <c r="J109" s="203" t="s">
        <v>127</v>
      </c>
      <c r="K109" s="226" t="s">
        <v>1142</v>
      </c>
    </row>
    <row r="110" spans="1:11" ht="43.5">
      <c r="A110" s="217" t="b">
        <v>0</v>
      </c>
      <c r="B110" s="206" t="s">
        <v>35</v>
      </c>
      <c r="C110" s="206" t="s">
        <v>1142</v>
      </c>
      <c r="D110" s="206" t="b">
        <v>0</v>
      </c>
      <c r="E110" s="206" t="b">
        <v>1</v>
      </c>
      <c r="F110" s="212" t="s">
        <v>1462</v>
      </c>
      <c r="G110" s="213" t="s">
        <v>1463</v>
      </c>
      <c r="H110" s="214" t="s">
        <v>1142</v>
      </c>
      <c r="I110" s="207" t="s">
        <v>1129</v>
      </c>
      <c r="J110" s="203" t="s">
        <v>127</v>
      </c>
      <c r="K110" s="226" t="s">
        <v>1142</v>
      </c>
    </row>
    <row r="111" spans="1:11">
      <c r="A111" s="217" t="b">
        <v>0</v>
      </c>
      <c r="B111" s="206" t="s">
        <v>35</v>
      </c>
      <c r="C111" s="206" t="s">
        <v>1142</v>
      </c>
      <c r="D111" s="206" t="b">
        <v>0</v>
      </c>
      <c r="E111" s="206" t="b">
        <v>1</v>
      </c>
      <c r="F111" s="212" t="s">
        <v>1303</v>
      </c>
      <c r="G111" s="213" t="s">
        <v>1464</v>
      </c>
      <c r="H111" s="214" t="s">
        <v>1142</v>
      </c>
      <c r="I111" s="207" t="s">
        <v>1129</v>
      </c>
      <c r="J111" s="203" t="s">
        <v>127</v>
      </c>
      <c r="K111" s="226" t="s">
        <v>1142</v>
      </c>
    </row>
    <row r="112" spans="1:11">
      <c r="A112" s="217" t="b">
        <v>0</v>
      </c>
      <c r="B112" s="206" t="s">
        <v>35</v>
      </c>
      <c r="C112" s="206" t="s">
        <v>1142</v>
      </c>
      <c r="D112" s="206" t="b">
        <v>0</v>
      </c>
      <c r="E112" s="206" t="b">
        <v>1</v>
      </c>
      <c r="F112" s="212" t="s">
        <v>1202</v>
      </c>
      <c r="G112" s="213" t="s">
        <v>1465</v>
      </c>
      <c r="H112" s="214" t="s">
        <v>1142</v>
      </c>
      <c r="I112" s="207" t="s">
        <v>1129</v>
      </c>
      <c r="J112" s="203" t="s">
        <v>127</v>
      </c>
      <c r="K112" s="226" t="s">
        <v>1142</v>
      </c>
    </row>
    <row r="113" spans="1:11" ht="43.5">
      <c r="A113" s="217" t="b">
        <v>0</v>
      </c>
      <c r="B113" s="206" t="s">
        <v>35</v>
      </c>
      <c r="C113" s="206" t="s">
        <v>1142</v>
      </c>
      <c r="D113" s="206" t="b">
        <v>0</v>
      </c>
      <c r="E113" s="206" t="b">
        <v>1</v>
      </c>
      <c r="F113" s="212" t="s">
        <v>1466</v>
      </c>
      <c r="G113" s="213" t="s">
        <v>1467</v>
      </c>
      <c r="H113" s="214" t="s">
        <v>1142</v>
      </c>
      <c r="I113" s="207" t="s">
        <v>1129</v>
      </c>
      <c r="J113" s="203" t="s">
        <v>127</v>
      </c>
      <c r="K113" s="226" t="s">
        <v>1142</v>
      </c>
    </row>
    <row r="114" spans="1:11">
      <c r="A114" s="217" t="b">
        <v>0</v>
      </c>
      <c r="B114" s="206" t="s">
        <v>35</v>
      </c>
      <c r="C114" s="206" t="s">
        <v>1142</v>
      </c>
      <c r="D114" s="206" t="b">
        <v>0</v>
      </c>
      <c r="E114" s="206" t="b">
        <v>1</v>
      </c>
      <c r="F114" s="207" t="s">
        <v>1468</v>
      </c>
      <c r="G114" s="213" t="s">
        <v>1469</v>
      </c>
      <c r="H114" s="214" t="s">
        <v>1142</v>
      </c>
      <c r="I114" s="207" t="s">
        <v>1129</v>
      </c>
      <c r="J114" s="203" t="s">
        <v>127</v>
      </c>
      <c r="K114" s="226" t="s">
        <v>1142</v>
      </c>
    </row>
    <row r="115" spans="1:11">
      <c r="A115" s="239" t="s">
        <v>1142</v>
      </c>
      <c r="B115" s="210" t="s">
        <v>36</v>
      </c>
      <c r="C115" s="210" t="s">
        <v>1142</v>
      </c>
      <c r="D115" s="210" t="b">
        <v>0</v>
      </c>
      <c r="E115" s="210" t="b">
        <v>1</v>
      </c>
      <c r="F115" s="211" t="s">
        <v>37</v>
      </c>
      <c r="G115" s="210" t="s">
        <v>1142</v>
      </c>
      <c r="H115" s="211" t="s">
        <v>1142</v>
      </c>
      <c r="I115" s="211" t="s">
        <v>1142</v>
      </c>
      <c r="J115" s="211" t="s">
        <v>1142</v>
      </c>
      <c r="K115" s="211" t="s">
        <v>1142</v>
      </c>
    </row>
    <row r="116" spans="1:11" ht="101.5">
      <c r="A116" s="217" t="b">
        <v>0</v>
      </c>
      <c r="B116" s="206" t="s">
        <v>38</v>
      </c>
      <c r="C116" s="206" t="s">
        <v>1142</v>
      </c>
      <c r="D116" s="206" t="b">
        <v>0</v>
      </c>
      <c r="E116" s="206" t="b">
        <v>1</v>
      </c>
      <c r="F116" s="207" t="s">
        <v>1142</v>
      </c>
      <c r="G116" s="213" t="s">
        <v>1426</v>
      </c>
      <c r="H116" s="214" t="s">
        <v>1142</v>
      </c>
      <c r="I116" s="207" t="s">
        <v>1129</v>
      </c>
      <c r="J116" s="203" t="s">
        <v>127</v>
      </c>
      <c r="K116" s="226" t="s">
        <v>1142</v>
      </c>
    </row>
    <row r="117" spans="1:11" ht="29">
      <c r="A117" s="235" t="s">
        <v>4</v>
      </c>
      <c r="B117" s="236" t="s">
        <v>5</v>
      </c>
      <c r="C117" s="236" t="s">
        <v>6</v>
      </c>
      <c r="D117" s="236" t="s">
        <v>113</v>
      </c>
      <c r="E117" s="236" t="s">
        <v>114</v>
      </c>
      <c r="F117" s="236" t="s">
        <v>9</v>
      </c>
      <c r="G117" s="236" t="s">
        <v>10</v>
      </c>
      <c r="H117" s="236" t="s">
        <v>11</v>
      </c>
      <c r="I117" s="236" t="s">
        <v>12</v>
      </c>
      <c r="J117" s="236" t="s">
        <v>13</v>
      </c>
      <c r="K117" s="236" t="s">
        <v>14</v>
      </c>
    </row>
    <row r="118" spans="1:11">
      <c r="A118" s="237" t="s">
        <v>1142</v>
      </c>
      <c r="B118" s="198" t="s">
        <v>15</v>
      </c>
      <c r="C118" s="198" t="s">
        <v>1142</v>
      </c>
      <c r="D118" s="198" t="b">
        <v>0</v>
      </c>
      <c r="E118" s="198" t="b">
        <v>1</v>
      </c>
      <c r="F118" s="199" t="s">
        <v>1353</v>
      </c>
      <c r="G118" s="198" t="s">
        <v>1142</v>
      </c>
      <c r="H118" s="199" t="s">
        <v>1142</v>
      </c>
      <c r="I118" s="199" t="s">
        <v>1142</v>
      </c>
      <c r="J118" s="199" t="s">
        <v>1142</v>
      </c>
      <c r="K118" s="199" t="s">
        <v>1142</v>
      </c>
    </row>
    <row r="119" spans="1:11">
      <c r="A119" s="238" t="s">
        <v>1142</v>
      </c>
      <c r="B119" s="202" t="s">
        <v>17</v>
      </c>
      <c r="C119" s="202" t="s">
        <v>1142</v>
      </c>
      <c r="D119" s="202" t="b">
        <v>0</v>
      </c>
      <c r="E119" s="202" t="b">
        <v>1</v>
      </c>
      <c r="F119" s="202" t="s">
        <v>18</v>
      </c>
      <c r="G119" s="202" t="s">
        <v>1470</v>
      </c>
      <c r="H119" s="202" t="s">
        <v>1142</v>
      </c>
      <c r="I119" s="202" t="s">
        <v>1142</v>
      </c>
      <c r="J119" s="203" t="s">
        <v>127</v>
      </c>
      <c r="K119" s="226" t="s">
        <v>1471</v>
      </c>
    </row>
    <row r="120" spans="1:11">
      <c r="A120" s="217" t="b">
        <v>1</v>
      </c>
      <c r="B120" s="206" t="s">
        <v>21</v>
      </c>
      <c r="C120" s="206" t="s">
        <v>1142</v>
      </c>
      <c r="D120" s="206" t="b">
        <v>0</v>
      </c>
      <c r="E120" s="206" t="b">
        <v>1</v>
      </c>
      <c r="F120" s="207" t="s">
        <v>22</v>
      </c>
      <c r="G120" s="212" t="s">
        <v>60</v>
      </c>
      <c r="H120" s="208" t="s">
        <v>1142</v>
      </c>
      <c r="I120" s="207" t="s">
        <v>1142</v>
      </c>
      <c r="J120" s="207" t="s">
        <v>1142</v>
      </c>
      <c r="K120" s="226" t="s">
        <v>1142</v>
      </c>
    </row>
    <row r="121" spans="1:11">
      <c r="A121" s="217" t="b">
        <v>0</v>
      </c>
      <c r="B121" s="206" t="s">
        <v>24</v>
      </c>
      <c r="C121" s="206" t="s">
        <v>1142</v>
      </c>
      <c r="D121" s="206" t="b">
        <v>0</v>
      </c>
      <c r="E121" s="206" t="b">
        <v>1</v>
      </c>
      <c r="F121" s="207" t="s">
        <v>25</v>
      </c>
      <c r="G121" s="212">
        <v>2</v>
      </c>
      <c r="H121" s="208" t="s">
        <v>1142</v>
      </c>
      <c r="I121" s="207" t="s">
        <v>1142</v>
      </c>
      <c r="J121" s="207" t="s">
        <v>1142</v>
      </c>
      <c r="K121" s="226" t="s">
        <v>1142</v>
      </c>
    </row>
    <row r="122" spans="1:11">
      <c r="A122" s="217" t="b">
        <v>0</v>
      </c>
      <c r="B122" s="206" t="s">
        <v>26</v>
      </c>
      <c r="C122" s="206" t="s">
        <v>1142</v>
      </c>
      <c r="D122" s="206" t="b">
        <v>0</v>
      </c>
      <c r="E122" s="206" t="b">
        <v>1</v>
      </c>
      <c r="F122" s="207" t="s">
        <v>27</v>
      </c>
      <c r="G122" s="212" t="s">
        <v>1142</v>
      </c>
      <c r="H122" s="208" t="s">
        <v>1142</v>
      </c>
      <c r="I122" s="207" t="s">
        <v>1142</v>
      </c>
      <c r="J122" s="207" t="s">
        <v>1142</v>
      </c>
      <c r="K122" s="226" t="s">
        <v>1142</v>
      </c>
    </row>
    <row r="123" spans="1:11">
      <c r="A123" s="217" t="b">
        <v>1</v>
      </c>
      <c r="B123" s="206" t="s">
        <v>28</v>
      </c>
      <c r="C123" s="206" t="s">
        <v>1142</v>
      </c>
      <c r="D123" s="206" t="b">
        <v>0</v>
      </c>
      <c r="E123" s="206" t="b">
        <v>1</v>
      </c>
      <c r="F123" s="207" t="s">
        <v>29</v>
      </c>
      <c r="G123" s="212" t="s">
        <v>30</v>
      </c>
      <c r="H123" s="208" t="s">
        <v>1142</v>
      </c>
      <c r="I123" s="207" t="s">
        <v>1142</v>
      </c>
      <c r="J123" s="207" t="s">
        <v>1142</v>
      </c>
      <c r="K123" s="226" t="s">
        <v>1142</v>
      </c>
    </row>
    <row r="124" spans="1:11" ht="168" customHeight="1">
      <c r="A124" s="227" t="s">
        <v>1142</v>
      </c>
      <c r="B124" s="210" t="s">
        <v>31</v>
      </c>
      <c r="C124" s="210" t="s">
        <v>1142</v>
      </c>
      <c r="D124" s="210" t="b">
        <v>0</v>
      </c>
      <c r="E124" s="210" t="b">
        <v>1</v>
      </c>
      <c r="F124" s="211" t="s">
        <v>32</v>
      </c>
      <c r="G124" s="210" t="s">
        <v>1142</v>
      </c>
      <c r="H124" s="211" t="s">
        <v>1142</v>
      </c>
      <c r="I124" s="211" t="s">
        <v>1142</v>
      </c>
      <c r="J124" s="211" t="s">
        <v>1142</v>
      </c>
      <c r="K124" s="210" t="s">
        <v>1472</v>
      </c>
    </row>
    <row r="125" spans="1:11" ht="174">
      <c r="A125" s="217" t="b">
        <v>0</v>
      </c>
      <c r="B125" s="206" t="s">
        <v>35</v>
      </c>
      <c r="C125" s="206" t="s">
        <v>1142</v>
      </c>
      <c r="D125" s="206" t="b">
        <v>0</v>
      </c>
      <c r="E125" s="206" t="b">
        <v>1</v>
      </c>
      <c r="F125" s="212" t="s">
        <v>1450</v>
      </c>
      <c r="G125" s="213" t="s">
        <v>1473</v>
      </c>
      <c r="H125" s="214" t="s">
        <v>1142</v>
      </c>
      <c r="I125" s="207" t="s">
        <v>1129</v>
      </c>
      <c r="J125" s="203" t="s">
        <v>127</v>
      </c>
      <c r="K125" s="226" t="s">
        <v>1142</v>
      </c>
    </row>
    <row r="126" spans="1:11" ht="72.5">
      <c r="A126" s="217" t="s">
        <v>1142</v>
      </c>
      <c r="B126" s="206" t="s">
        <v>35</v>
      </c>
      <c r="C126" s="206" t="s">
        <v>1142</v>
      </c>
      <c r="D126" s="206" t="b">
        <v>0</v>
      </c>
      <c r="E126" s="206" t="b">
        <v>1</v>
      </c>
      <c r="F126" s="212" t="s">
        <v>1452</v>
      </c>
      <c r="G126" s="213" t="s">
        <v>1474</v>
      </c>
      <c r="H126" s="214" t="s">
        <v>1142</v>
      </c>
      <c r="I126" s="207" t="s">
        <v>1129</v>
      </c>
      <c r="J126" s="203" t="s">
        <v>127</v>
      </c>
      <c r="K126" s="226" t="s">
        <v>1142</v>
      </c>
    </row>
    <row r="127" spans="1:11">
      <c r="A127" s="217" t="b">
        <v>0</v>
      </c>
      <c r="B127" s="206" t="s">
        <v>35</v>
      </c>
      <c r="C127" s="206" t="s">
        <v>1142</v>
      </c>
      <c r="D127" s="206" t="b">
        <v>0</v>
      </c>
      <c r="E127" s="206" t="b">
        <v>1</v>
      </c>
      <c r="F127" s="212" t="s">
        <v>1454</v>
      </c>
      <c r="G127" s="213" t="s">
        <v>1475</v>
      </c>
      <c r="H127" s="214" t="s">
        <v>1142</v>
      </c>
      <c r="I127" s="207" t="s">
        <v>1129</v>
      </c>
      <c r="J127" s="203" t="s">
        <v>127</v>
      </c>
      <c r="K127" s="226" t="s">
        <v>1142</v>
      </c>
    </row>
    <row r="128" spans="1:11" ht="29">
      <c r="A128" s="217" t="b">
        <v>0</v>
      </c>
      <c r="B128" s="206" t="s">
        <v>35</v>
      </c>
      <c r="C128" s="206" t="s">
        <v>1142</v>
      </c>
      <c r="D128" s="206" t="b">
        <v>0</v>
      </c>
      <c r="E128" s="206" t="b">
        <v>1</v>
      </c>
      <c r="F128" s="212" t="s">
        <v>1456</v>
      </c>
      <c r="G128" s="213" t="s">
        <v>1476</v>
      </c>
      <c r="H128" s="214" t="s">
        <v>1142</v>
      </c>
      <c r="I128" s="207" t="s">
        <v>1129</v>
      </c>
      <c r="J128" s="203" t="s">
        <v>127</v>
      </c>
      <c r="K128" s="226" t="s">
        <v>1142</v>
      </c>
    </row>
    <row r="129" spans="1:11" ht="43.5">
      <c r="A129" s="217" t="b">
        <v>0</v>
      </c>
      <c r="B129" s="206" t="s">
        <v>35</v>
      </c>
      <c r="C129" s="206" t="s">
        <v>1142</v>
      </c>
      <c r="D129" s="206" t="b">
        <v>0</v>
      </c>
      <c r="E129" s="206" t="b">
        <v>1</v>
      </c>
      <c r="F129" s="212" t="s">
        <v>1458</v>
      </c>
      <c r="G129" s="213" t="s">
        <v>1477</v>
      </c>
      <c r="H129" s="214" t="s">
        <v>1142</v>
      </c>
      <c r="I129" s="207" t="s">
        <v>1129</v>
      </c>
      <c r="J129" s="203" t="s">
        <v>127</v>
      </c>
      <c r="K129" s="226" t="s">
        <v>1142</v>
      </c>
    </row>
    <row r="130" spans="1:11" ht="43.5">
      <c r="A130" s="217" t="b">
        <v>0</v>
      </c>
      <c r="B130" s="206" t="s">
        <v>35</v>
      </c>
      <c r="C130" s="206" t="s">
        <v>1142</v>
      </c>
      <c r="D130" s="206" t="b">
        <v>0</v>
      </c>
      <c r="E130" s="206" t="b">
        <v>1</v>
      </c>
      <c r="F130" s="212" t="s">
        <v>1460</v>
      </c>
      <c r="G130" s="213" t="s">
        <v>1478</v>
      </c>
      <c r="H130" s="214" t="s">
        <v>1142</v>
      </c>
      <c r="I130" s="207" t="s">
        <v>1129</v>
      </c>
      <c r="J130" s="203" t="s">
        <v>127</v>
      </c>
      <c r="K130" s="226" t="s">
        <v>1142</v>
      </c>
    </row>
    <row r="131" spans="1:11" ht="29">
      <c r="A131" s="217" t="b">
        <v>0</v>
      </c>
      <c r="B131" s="206" t="s">
        <v>35</v>
      </c>
      <c r="C131" s="206" t="s">
        <v>1142</v>
      </c>
      <c r="D131" s="206" t="b">
        <v>0</v>
      </c>
      <c r="E131" s="206" t="b">
        <v>1</v>
      </c>
      <c r="F131" s="212" t="s">
        <v>1462</v>
      </c>
      <c r="G131" s="213" t="s">
        <v>1479</v>
      </c>
      <c r="H131" s="214" t="s">
        <v>1142</v>
      </c>
      <c r="I131" s="207" t="s">
        <v>1129</v>
      </c>
      <c r="J131" s="203" t="s">
        <v>127</v>
      </c>
      <c r="K131" s="226" t="s">
        <v>1142</v>
      </c>
    </row>
    <row r="132" spans="1:11">
      <c r="A132" s="217" t="b">
        <v>0</v>
      </c>
      <c r="B132" s="206" t="s">
        <v>35</v>
      </c>
      <c r="C132" s="206" t="s">
        <v>1142</v>
      </c>
      <c r="D132" s="206" t="b">
        <v>0</v>
      </c>
      <c r="E132" s="206" t="b">
        <v>1</v>
      </c>
      <c r="F132" s="212" t="s">
        <v>1303</v>
      </c>
      <c r="G132" s="213" t="s">
        <v>1480</v>
      </c>
      <c r="H132" s="214" t="s">
        <v>1142</v>
      </c>
      <c r="I132" s="207" t="s">
        <v>1129</v>
      </c>
      <c r="J132" s="203" t="s">
        <v>127</v>
      </c>
      <c r="K132" s="226" t="s">
        <v>1142</v>
      </c>
    </row>
    <row r="133" spans="1:11">
      <c r="A133" s="217" t="b">
        <v>0</v>
      </c>
      <c r="B133" s="206" t="s">
        <v>35</v>
      </c>
      <c r="C133" s="206" t="s">
        <v>1142</v>
      </c>
      <c r="D133" s="206" t="b">
        <v>0</v>
      </c>
      <c r="E133" s="206" t="b">
        <v>1</v>
      </c>
      <c r="F133" s="212" t="s">
        <v>1202</v>
      </c>
      <c r="G133" s="213" t="s">
        <v>1481</v>
      </c>
      <c r="H133" s="214" t="s">
        <v>1142</v>
      </c>
      <c r="I133" s="207" t="s">
        <v>1129</v>
      </c>
      <c r="J133" s="203" t="s">
        <v>127</v>
      </c>
      <c r="K133" s="226" t="s">
        <v>1142</v>
      </c>
    </row>
    <row r="134" spans="1:11" ht="43.5">
      <c r="A134" s="217" t="b">
        <v>0</v>
      </c>
      <c r="B134" s="206" t="s">
        <v>35</v>
      </c>
      <c r="C134" s="206" t="s">
        <v>1142</v>
      </c>
      <c r="D134" s="206" t="b">
        <v>0</v>
      </c>
      <c r="E134" s="206" t="b">
        <v>1</v>
      </c>
      <c r="F134" s="212" t="s">
        <v>1466</v>
      </c>
      <c r="G134" s="213" t="s">
        <v>1482</v>
      </c>
      <c r="H134" s="214" t="s">
        <v>1142</v>
      </c>
      <c r="I134" s="207" t="s">
        <v>1129</v>
      </c>
      <c r="J134" s="203" t="s">
        <v>127</v>
      </c>
      <c r="K134" s="226" t="s">
        <v>1142</v>
      </c>
    </row>
    <row r="135" spans="1:11">
      <c r="A135" s="217" t="b">
        <v>0</v>
      </c>
      <c r="B135" s="206" t="s">
        <v>35</v>
      </c>
      <c r="C135" s="206" t="s">
        <v>1142</v>
      </c>
      <c r="D135" s="206" t="b">
        <v>0</v>
      </c>
      <c r="E135" s="206" t="b">
        <v>1</v>
      </c>
      <c r="F135" s="207" t="s">
        <v>1468</v>
      </c>
      <c r="G135" s="213" t="s">
        <v>1469</v>
      </c>
      <c r="H135" s="214" t="s">
        <v>1142</v>
      </c>
      <c r="I135" s="207" t="s">
        <v>1129</v>
      </c>
      <c r="J135" s="203" t="s">
        <v>127</v>
      </c>
      <c r="K135" s="226" t="s">
        <v>1142</v>
      </c>
    </row>
    <row r="136" spans="1:11">
      <c r="A136" s="227" t="s">
        <v>1142</v>
      </c>
      <c r="B136" s="210" t="s">
        <v>36</v>
      </c>
      <c r="C136" s="210" t="s">
        <v>1142</v>
      </c>
      <c r="D136" s="210" t="b">
        <v>0</v>
      </c>
      <c r="E136" s="210" t="b">
        <v>1</v>
      </c>
      <c r="F136" s="211" t="s">
        <v>37</v>
      </c>
      <c r="G136" s="210" t="s">
        <v>1142</v>
      </c>
      <c r="H136" s="211" t="s">
        <v>1142</v>
      </c>
      <c r="I136" s="211" t="s">
        <v>1142</v>
      </c>
      <c r="J136" s="211" t="s">
        <v>1142</v>
      </c>
      <c r="K136" s="211" t="s">
        <v>1142</v>
      </c>
    </row>
    <row r="137" spans="1:11" ht="101.5">
      <c r="A137" s="217" t="b">
        <v>0</v>
      </c>
      <c r="B137" s="206" t="s">
        <v>38</v>
      </c>
      <c r="C137" s="206" t="s">
        <v>1142</v>
      </c>
      <c r="D137" s="206" t="b">
        <v>0</v>
      </c>
      <c r="E137" s="206" t="b">
        <v>1</v>
      </c>
      <c r="F137" s="207" t="s">
        <v>1142</v>
      </c>
      <c r="G137" s="213" t="s">
        <v>1426</v>
      </c>
      <c r="H137" s="214" t="s">
        <v>1142</v>
      </c>
      <c r="I137" s="207" t="s">
        <v>1129</v>
      </c>
      <c r="J137" s="203" t="s">
        <v>127</v>
      </c>
      <c r="K137" s="226" t="s">
        <v>1142</v>
      </c>
    </row>
    <row r="138" spans="1:11" ht="29">
      <c r="A138" s="235" t="s">
        <v>4</v>
      </c>
      <c r="B138" s="236" t="s">
        <v>5</v>
      </c>
      <c r="C138" s="236" t="s">
        <v>6</v>
      </c>
      <c r="D138" s="236" t="s">
        <v>113</v>
      </c>
      <c r="E138" s="236" t="s">
        <v>114</v>
      </c>
      <c r="F138" s="236" t="s">
        <v>9</v>
      </c>
      <c r="G138" s="236" t="s">
        <v>10</v>
      </c>
      <c r="H138" s="236" t="s">
        <v>11</v>
      </c>
      <c r="I138" s="236" t="s">
        <v>12</v>
      </c>
      <c r="J138" s="236" t="s">
        <v>13</v>
      </c>
      <c r="K138" s="236" t="s">
        <v>14</v>
      </c>
    </row>
    <row r="139" spans="1:11">
      <c r="A139" s="237" t="s">
        <v>1142</v>
      </c>
      <c r="B139" s="198" t="s">
        <v>15</v>
      </c>
      <c r="C139" s="198" t="s">
        <v>1142</v>
      </c>
      <c r="D139" s="198" t="b">
        <v>0</v>
      </c>
      <c r="E139" s="198" t="b">
        <v>1</v>
      </c>
      <c r="F139" s="199" t="s">
        <v>1353</v>
      </c>
      <c r="G139" s="198" t="s">
        <v>1142</v>
      </c>
      <c r="H139" s="199" t="s">
        <v>1142</v>
      </c>
      <c r="I139" s="199" t="s">
        <v>1142</v>
      </c>
      <c r="J139" s="199" t="s">
        <v>1142</v>
      </c>
      <c r="K139" s="199" t="s">
        <v>1142</v>
      </c>
    </row>
    <row r="140" spans="1:11">
      <c r="A140" s="238" t="s">
        <v>1142</v>
      </c>
      <c r="B140" s="202" t="s">
        <v>17</v>
      </c>
      <c r="C140" s="202" t="s">
        <v>1142</v>
      </c>
      <c r="D140" s="202" t="b">
        <v>0</v>
      </c>
      <c r="E140" s="202" t="b">
        <v>1</v>
      </c>
      <c r="F140" s="202" t="s">
        <v>18</v>
      </c>
      <c r="G140" s="202" t="s">
        <v>1483</v>
      </c>
      <c r="H140" s="202" t="s">
        <v>1142</v>
      </c>
      <c r="I140" s="202" t="s">
        <v>1142</v>
      </c>
      <c r="J140" s="203" t="s">
        <v>127</v>
      </c>
      <c r="K140" s="226" t="s">
        <v>1484</v>
      </c>
    </row>
    <row r="141" spans="1:11">
      <c r="A141" s="217" t="b">
        <v>1</v>
      </c>
      <c r="B141" s="206" t="s">
        <v>21</v>
      </c>
      <c r="C141" s="206" t="s">
        <v>1142</v>
      </c>
      <c r="D141" s="206" t="b">
        <v>0</v>
      </c>
      <c r="E141" s="206" t="b">
        <v>1</v>
      </c>
      <c r="F141" s="207" t="s">
        <v>22</v>
      </c>
      <c r="G141" s="212" t="s">
        <v>60</v>
      </c>
      <c r="H141" s="208" t="s">
        <v>1142</v>
      </c>
      <c r="I141" s="207" t="s">
        <v>1142</v>
      </c>
      <c r="J141" s="207" t="s">
        <v>1142</v>
      </c>
      <c r="K141" s="226" t="s">
        <v>1142</v>
      </c>
    </row>
    <row r="142" spans="1:11">
      <c r="A142" s="217" t="b">
        <v>0</v>
      </c>
      <c r="B142" s="206" t="s">
        <v>24</v>
      </c>
      <c r="C142" s="206" t="s">
        <v>1142</v>
      </c>
      <c r="D142" s="206" t="b">
        <v>0</v>
      </c>
      <c r="E142" s="206" t="b">
        <v>1</v>
      </c>
      <c r="F142" s="207" t="s">
        <v>25</v>
      </c>
      <c r="G142" s="212">
        <v>2</v>
      </c>
      <c r="H142" s="208" t="s">
        <v>1142</v>
      </c>
      <c r="I142" s="207" t="s">
        <v>1142</v>
      </c>
      <c r="J142" s="207" t="s">
        <v>1142</v>
      </c>
      <c r="K142" s="226" t="s">
        <v>1142</v>
      </c>
    </row>
    <row r="143" spans="1:11">
      <c r="A143" s="217" t="b">
        <v>0</v>
      </c>
      <c r="B143" s="206" t="s">
        <v>26</v>
      </c>
      <c r="C143" s="206" t="s">
        <v>1142</v>
      </c>
      <c r="D143" s="206" t="b">
        <v>0</v>
      </c>
      <c r="E143" s="206" t="b">
        <v>1</v>
      </c>
      <c r="F143" s="207" t="s">
        <v>27</v>
      </c>
      <c r="G143" s="212" t="s">
        <v>1142</v>
      </c>
      <c r="H143" s="208" t="s">
        <v>1142</v>
      </c>
      <c r="I143" s="207" t="s">
        <v>1142</v>
      </c>
      <c r="J143" s="207" t="s">
        <v>1142</v>
      </c>
      <c r="K143" s="226" t="s">
        <v>1142</v>
      </c>
    </row>
    <row r="144" spans="1:11">
      <c r="A144" s="217" t="b">
        <v>1</v>
      </c>
      <c r="B144" s="206" t="s">
        <v>28</v>
      </c>
      <c r="C144" s="206" t="s">
        <v>1142</v>
      </c>
      <c r="D144" s="206" t="b">
        <v>0</v>
      </c>
      <c r="E144" s="206" t="b">
        <v>1</v>
      </c>
      <c r="F144" s="207" t="s">
        <v>29</v>
      </c>
      <c r="G144" s="212" t="s">
        <v>30</v>
      </c>
      <c r="H144" s="208" t="s">
        <v>1142</v>
      </c>
      <c r="I144" s="207" t="s">
        <v>1142</v>
      </c>
      <c r="J144" s="207" t="s">
        <v>1142</v>
      </c>
      <c r="K144" s="226" t="s">
        <v>1142</v>
      </c>
    </row>
    <row r="145" spans="1:11">
      <c r="A145" s="227" t="s">
        <v>1142</v>
      </c>
      <c r="B145" s="210" t="s">
        <v>31</v>
      </c>
      <c r="C145" s="210" t="s">
        <v>1142</v>
      </c>
      <c r="D145" s="210" t="b">
        <v>0</v>
      </c>
      <c r="E145" s="210" t="b">
        <v>1</v>
      </c>
      <c r="F145" s="211" t="s">
        <v>32</v>
      </c>
      <c r="G145" s="210" t="s">
        <v>1142</v>
      </c>
      <c r="H145" s="211" t="s">
        <v>1142</v>
      </c>
      <c r="I145" s="211" t="s">
        <v>1142</v>
      </c>
      <c r="J145" s="211" t="s">
        <v>1142</v>
      </c>
      <c r="K145" s="210" t="s">
        <v>1142</v>
      </c>
    </row>
    <row r="146" spans="1:11" ht="101.5">
      <c r="A146" s="217" t="b">
        <v>0</v>
      </c>
      <c r="B146" s="206" t="s">
        <v>35</v>
      </c>
      <c r="C146" s="206" t="s">
        <v>1142</v>
      </c>
      <c r="D146" s="206" t="b">
        <v>0</v>
      </c>
      <c r="E146" s="206" t="b">
        <v>1</v>
      </c>
      <c r="F146" s="212" t="s">
        <v>1450</v>
      </c>
      <c r="G146" s="213" t="s">
        <v>1485</v>
      </c>
      <c r="H146" s="214" t="s">
        <v>1142</v>
      </c>
      <c r="I146" s="207" t="s">
        <v>1129</v>
      </c>
      <c r="J146" s="203" t="s">
        <v>127</v>
      </c>
      <c r="K146" s="226" t="s">
        <v>1142</v>
      </c>
    </row>
    <row r="147" spans="1:11" ht="348">
      <c r="A147" s="217" t="s">
        <v>1142</v>
      </c>
      <c r="B147" s="206" t="s">
        <v>35</v>
      </c>
      <c r="C147" s="206" t="s">
        <v>1142</v>
      </c>
      <c r="D147" s="206" t="b">
        <v>0</v>
      </c>
      <c r="E147" s="206" t="b">
        <v>1</v>
      </c>
      <c r="F147" s="212" t="s">
        <v>1452</v>
      </c>
      <c r="G147" s="240" t="s">
        <v>1486</v>
      </c>
      <c r="H147" s="214" t="s">
        <v>1142</v>
      </c>
      <c r="I147" s="207" t="s">
        <v>1129</v>
      </c>
      <c r="J147" s="203" t="s">
        <v>127</v>
      </c>
      <c r="K147" s="226" t="s">
        <v>1142</v>
      </c>
    </row>
    <row r="148" spans="1:11">
      <c r="A148" s="217" t="b">
        <v>0</v>
      </c>
      <c r="B148" s="206" t="s">
        <v>35</v>
      </c>
      <c r="C148" s="206" t="s">
        <v>1142</v>
      </c>
      <c r="D148" s="206" t="b">
        <v>0</v>
      </c>
      <c r="E148" s="206" t="b">
        <v>1</v>
      </c>
      <c r="F148" s="212" t="s">
        <v>1454</v>
      </c>
      <c r="G148" s="213" t="s">
        <v>1475</v>
      </c>
      <c r="H148" s="214" t="s">
        <v>1142</v>
      </c>
      <c r="I148" s="207" t="s">
        <v>1129</v>
      </c>
      <c r="J148" s="203" t="s">
        <v>127</v>
      </c>
      <c r="K148" s="226" t="s">
        <v>1142</v>
      </c>
    </row>
    <row r="149" spans="1:11" ht="29">
      <c r="A149" s="217" t="b">
        <v>0</v>
      </c>
      <c r="B149" s="206" t="s">
        <v>35</v>
      </c>
      <c r="C149" s="206" t="s">
        <v>1142</v>
      </c>
      <c r="D149" s="206" t="b">
        <v>0</v>
      </c>
      <c r="E149" s="206" t="b">
        <v>1</v>
      </c>
      <c r="F149" s="212" t="s">
        <v>1456</v>
      </c>
      <c r="G149" s="213" t="s">
        <v>1476</v>
      </c>
      <c r="H149" s="214" t="s">
        <v>1142</v>
      </c>
      <c r="I149" s="207" t="s">
        <v>1129</v>
      </c>
      <c r="J149" s="203" t="s">
        <v>127</v>
      </c>
      <c r="K149" s="226" t="s">
        <v>1142</v>
      </c>
    </row>
    <row r="150" spans="1:11" ht="58">
      <c r="A150" s="217" t="b">
        <v>0</v>
      </c>
      <c r="B150" s="206" t="s">
        <v>35</v>
      </c>
      <c r="C150" s="206" t="s">
        <v>1142</v>
      </c>
      <c r="D150" s="206" t="b">
        <v>0</v>
      </c>
      <c r="E150" s="206" t="b">
        <v>1</v>
      </c>
      <c r="F150" s="212" t="s">
        <v>1458</v>
      </c>
      <c r="G150" s="213" t="s">
        <v>1487</v>
      </c>
      <c r="H150" s="214" t="s">
        <v>1142</v>
      </c>
      <c r="I150" s="207" t="s">
        <v>1129</v>
      </c>
      <c r="J150" s="203" t="s">
        <v>127</v>
      </c>
      <c r="K150" s="226" t="s">
        <v>1142</v>
      </c>
    </row>
    <row r="151" spans="1:11" ht="29">
      <c r="A151" s="217" t="b">
        <v>0</v>
      </c>
      <c r="B151" s="206" t="s">
        <v>35</v>
      </c>
      <c r="C151" s="206" t="s">
        <v>1142</v>
      </c>
      <c r="D151" s="206" t="b">
        <v>0</v>
      </c>
      <c r="E151" s="206" t="b">
        <v>1</v>
      </c>
      <c r="F151" s="212" t="s">
        <v>1460</v>
      </c>
      <c r="G151" s="213" t="s">
        <v>1488</v>
      </c>
      <c r="H151" s="214" t="s">
        <v>1142</v>
      </c>
      <c r="I151" s="207" t="s">
        <v>1129</v>
      </c>
      <c r="J151" s="203" t="s">
        <v>127</v>
      </c>
      <c r="K151" s="226" t="s">
        <v>1142</v>
      </c>
    </row>
    <row r="152" spans="1:11" ht="29">
      <c r="A152" s="217" t="b">
        <v>0</v>
      </c>
      <c r="B152" s="206" t="s">
        <v>35</v>
      </c>
      <c r="C152" s="206" t="s">
        <v>1142</v>
      </c>
      <c r="D152" s="206" t="b">
        <v>0</v>
      </c>
      <c r="E152" s="206" t="b">
        <v>1</v>
      </c>
      <c r="F152" s="212" t="s">
        <v>1462</v>
      </c>
      <c r="G152" s="213" t="s">
        <v>1479</v>
      </c>
      <c r="H152" s="214" t="s">
        <v>1142</v>
      </c>
      <c r="I152" s="207" t="s">
        <v>1129</v>
      </c>
      <c r="J152" s="203" t="s">
        <v>127</v>
      </c>
      <c r="K152" s="226" t="s">
        <v>1142</v>
      </c>
    </row>
    <row r="153" spans="1:11">
      <c r="A153" s="217" t="b">
        <v>0</v>
      </c>
      <c r="B153" s="206" t="s">
        <v>35</v>
      </c>
      <c r="C153" s="206" t="s">
        <v>1142</v>
      </c>
      <c r="D153" s="206" t="b">
        <v>0</v>
      </c>
      <c r="E153" s="206" t="b">
        <v>1</v>
      </c>
      <c r="F153" s="212" t="s">
        <v>1303</v>
      </c>
      <c r="G153" s="213" t="s">
        <v>1489</v>
      </c>
      <c r="H153" s="214" t="s">
        <v>1142</v>
      </c>
      <c r="I153" s="207" t="s">
        <v>1129</v>
      </c>
      <c r="J153" s="203" t="s">
        <v>127</v>
      </c>
      <c r="K153" s="226" t="s">
        <v>1142</v>
      </c>
    </row>
    <row r="154" spans="1:11">
      <c r="A154" s="217" t="b">
        <v>0</v>
      </c>
      <c r="B154" s="206" t="s">
        <v>35</v>
      </c>
      <c r="C154" s="206" t="s">
        <v>1142</v>
      </c>
      <c r="D154" s="206" t="b">
        <v>0</v>
      </c>
      <c r="E154" s="206" t="b">
        <v>1</v>
      </c>
      <c r="F154" s="212" t="s">
        <v>1202</v>
      </c>
      <c r="G154" s="213" t="s">
        <v>1490</v>
      </c>
      <c r="H154" s="214" t="s">
        <v>1142</v>
      </c>
      <c r="I154" s="207" t="s">
        <v>1129</v>
      </c>
      <c r="J154" s="203" t="s">
        <v>127</v>
      </c>
      <c r="K154" s="226" t="s">
        <v>1142</v>
      </c>
    </row>
    <row r="155" spans="1:11" ht="43.5">
      <c r="A155" s="217" t="b">
        <v>0</v>
      </c>
      <c r="B155" s="206" t="s">
        <v>35</v>
      </c>
      <c r="C155" s="206" t="s">
        <v>1142</v>
      </c>
      <c r="D155" s="206" t="b">
        <v>0</v>
      </c>
      <c r="E155" s="206" t="b">
        <v>1</v>
      </c>
      <c r="F155" s="212" t="s">
        <v>1466</v>
      </c>
      <c r="G155" s="213" t="s">
        <v>1491</v>
      </c>
      <c r="H155" s="214" t="s">
        <v>1142</v>
      </c>
      <c r="I155" s="207" t="s">
        <v>1129</v>
      </c>
      <c r="J155" s="203" t="s">
        <v>127</v>
      </c>
      <c r="K155" s="226" t="s">
        <v>1142</v>
      </c>
    </row>
    <row r="156" spans="1:11">
      <c r="A156" s="217" t="b">
        <v>0</v>
      </c>
      <c r="B156" s="206" t="s">
        <v>35</v>
      </c>
      <c r="C156" s="206" t="s">
        <v>1142</v>
      </c>
      <c r="D156" s="206" t="b">
        <v>0</v>
      </c>
      <c r="E156" s="206" t="b">
        <v>1</v>
      </c>
      <c r="F156" s="207" t="s">
        <v>1468</v>
      </c>
      <c r="G156" s="213" t="s">
        <v>1469</v>
      </c>
      <c r="H156" s="214" t="s">
        <v>1142</v>
      </c>
      <c r="I156" s="207" t="s">
        <v>1129</v>
      </c>
      <c r="J156" s="203" t="s">
        <v>127</v>
      </c>
      <c r="K156" s="226" t="s">
        <v>1142</v>
      </c>
    </row>
    <row r="157" spans="1:11" ht="29">
      <c r="A157" s="235" t="s">
        <v>4</v>
      </c>
      <c r="B157" s="236" t="s">
        <v>5</v>
      </c>
      <c r="C157" s="236" t="s">
        <v>6</v>
      </c>
      <c r="D157" s="236" t="s">
        <v>113</v>
      </c>
      <c r="E157" s="236" t="s">
        <v>114</v>
      </c>
      <c r="F157" s="236" t="s">
        <v>9</v>
      </c>
      <c r="G157" s="236" t="s">
        <v>10</v>
      </c>
      <c r="H157" s="236" t="s">
        <v>1492</v>
      </c>
      <c r="I157" s="236" t="s">
        <v>12</v>
      </c>
      <c r="J157" s="236" t="s">
        <v>13</v>
      </c>
      <c r="K157" s="236" t="s">
        <v>14</v>
      </c>
    </row>
    <row r="158" spans="1:11">
      <c r="A158" s="237" t="s">
        <v>1142</v>
      </c>
      <c r="B158" s="198" t="s">
        <v>15</v>
      </c>
      <c r="C158" s="198" t="s">
        <v>1142</v>
      </c>
      <c r="D158" s="198" t="b">
        <v>0</v>
      </c>
      <c r="E158" s="198" t="b">
        <v>1</v>
      </c>
      <c r="F158" s="199" t="s">
        <v>1353</v>
      </c>
      <c r="G158" s="198" t="s">
        <v>1142</v>
      </c>
      <c r="H158" s="199" t="s">
        <v>1142</v>
      </c>
      <c r="I158" s="199" t="s">
        <v>1142</v>
      </c>
      <c r="J158" s="199" t="s">
        <v>1142</v>
      </c>
      <c r="K158" s="199" t="s">
        <v>1142</v>
      </c>
    </row>
    <row r="159" spans="1:11">
      <c r="A159" s="238" t="s">
        <v>1142</v>
      </c>
      <c r="B159" s="202" t="s">
        <v>17</v>
      </c>
      <c r="C159" s="202" t="s">
        <v>1142</v>
      </c>
      <c r="D159" s="202" t="b">
        <v>0</v>
      </c>
      <c r="E159" s="202" t="b">
        <v>1</v>
      </c>
      <c r="F159" s="202" t="s">
        <v>18</v>
      </c>
      <c r="G159" s="202" t="s">
        <v>1493</v>
      </c>
      <c r="H159" s="202" t="s">
        <v>1142</v>
      </c>
      <c r="I159" s="202" t="s">
        <v>1142</v>
      </c>
      <c r="J159" s="203" t="s">
        <v>127</v>
      </c>
      <c r="K159" s="226" t="s">
        <v>1494</v>
      </c>
    </row>
    <row r="160" spans="1:11">
      <c r="A160" s="217" t="b">
        <v>0</v>
      </c>
      <c r="B160" s="206" t="s">
        <v>35</v>
      </c>
      <c r="C160" s="206" t="s">
        <v>1142</v>
      </c>
      <c r="D160" s="206" t="b">
        <v>0</v>
      </c>
      <c r="E160" s="206" t="b">
        <v>1</v>
      </c>
      <c r="F160" s="212" t="s">
        <v>1495</v>
      </c>
      <c r="G160" s="213" t="s">
        <v>1496</v>
      </c>
      <c r="H160" s="214" t="s">
        <v>1142</v>
      </c>
      <c r="I160" s="207" t="s">
        <v>1129</v>
      </c>
      <c r="J160" s="203" t="s">
        <v>127</v>
      </c>
      <c r="K160" s="226" t="s">
        <v>1142</v>
      </c>
    </row>
    <row r="161" spans="1:11">
      <c r="A161" s="217" t="s">
        <v>1142</v>
      </c>
      <c r="B161" s="206" t="s">
        <v>35</v>
      </c>
      <c r="C161" s="206" t="s">
        <v>1142</v>
      </c>
      <c r="D161" s="206" t="b">
        <v>0</v>
      </c>
      <c r="E161" s="206" t="b">
        <v>1</v>
      </c>
      <c r="F161" s="212" t="s">
        <v>253</v>
      </c>
      <c r="G161" s="213" t="s">
        <v>1497</v>
      </c>
      <c r="H161" s="214" t="s">
        <v>1142</v>
      </c>
      <c r="I161" s="207" t="s">
        <v>1129</v>
      </c>
      <c r="J161" s="203" t="s">
        <v>127</v>
      </c>
      <c r="K161" s="226" t="s">
        <v>1142</v>
      </c>
    </row>
    <row r="162" spans="1:11">
      <c r="A162" s="217" t="b">
        <v>0</v>
      </c>
      <c r="B162" s="206" t="s">
        <v>35</v>
      </c>
      <c r="C162" s="206" t="s">
        <v>1142</v>
      </c>
      <c r="D162" s="206" t="b">
        <v>0</v>
      </c>
      <c r="E162" s="206" t="b">
        <v>1</v>
      </c>
      <c r="F162" s="212" t="s">
        <v>1498</v>
      </c>
      <c r="G162" s="213" t="s">
        <v>1499</v>
      </c>
      <c r="H162" s="214" t="s">
        <v>1142</v>
      </c>
      <c r="I162" s="207" t="s">
        <v>1129</v>
      </c>
      <c r="J162" s="203" t="s">
        <v>127</v>
      </c>
      <c r="K162" s="226" t="s">
        <v>1142</v>
      </c>
    </row>
    <row r="163" spans="1:11" ht="87">
      <c r="A163" s="217" t="b">
        <v>0</v>
      </c>
      <c r="B163" s="206" t="s">
        <v>35</v>
      </c>
      <c r="C163" s="206" t="s">
        <v>1142</v>
      </c>
      <c r="D163" s="206" t="b">
        <v>0</v>
      </c>
      <c r="E163" s="206" t="b">
        <v>1</v>
      </c>
      <c r="F163" s="212" t="s">
        <v>1500</v>
      </c>
      <c r="G163" s="213" t="s">
        <v>1501</v>
      </c>
      <c r="H163" s="214" t="s">
        <v>1142</v>
      </c>
      <c r="I163" s="207" t="s">
        <v>1129</v>
      </c>
      <c r="J163" s="203" t="s">
        <v>127</v>
      </c>
      <c r="K163" s="226" t="s">
        <v>1142</v>
      </c>
    </row>
    <row r="164" spans="1:11" ht="29">
      <c r="A164" s="217" t="b">
        <v>0</v>
      </c>
      <c r="B164" s="206" t="s">
        <v>35</v>
      </c>
      <c r="C164" s="206" t="s">
        <v>1142</v>
      </c>
      <c r="D164" s="206" t="b">
        <v>0</v>
      </c>
      <c r="E164" s="206" t="b">
        <v>1</v>
      </c>
      <c r="F164" s="212" t="s">
        <v>1502</v>
      </c>
      <c r="G164" s="213" t="s">
        <v>1503</v>
      </c>
      <c r="H164" s="214" t="s">
        <v>1142</v>
      </c>
      <c r="I164" s="207" t="s">
        <v>1129</v>
      </c>
      <c r="J164" s="203" t="s">
        <v>127</v>
      </c>
      <c r="K164" s="226" t="s">
        <v>1142</v>
      </c>
    </row>
    <row r="165" spans="1:11" ht="116">
      <c r="A165" s="217" t="b">
        <v>0</v>
      </c>
      <c r="B165" s="206" t="s">
        <v>35</v>
      </c>
      <c r="C165" s="206" t="s">
        <v>1142</v>
      </c>
      <c r="D165" s="206" t="b">
        <v>0</v>
      </c>
      <c r="E165" s="206" t="b">
        <v>1</v>
      </c>
      <c r="F165" s="212" t="s">
        <v>1504</v>
      </c>
      <c r="G165" s="213" t="s">
        <v>1505</v>
      </c>
      <c r="H165" s="214" t="s">
        <v>1142</v>
      </c>
      <c r="I165" s="207" t="s">
        <v>1129</v>
      </c>
      <c r="J165" s="203" t="s">
        <v>127</v>
      </c>
      <c r="K165" s="226" t="s">
        <v>1142</v>
      </c>
    </row>
    <row r="166" spans="1:11" ht="58">
      <c r="A166" s="217" t="b">
        <v>0</v>
      </c>
      <c r="B166" s="206" t="s">
        <v>35</v>
      </c>
      <c r="C166" s="206" t="s">
        <v>1142</v>
      </c>
      <c r="D166" s="206" t="b">
        <v>0</v>
      </c>
      <c r="E166" s="206" t="b">
        <v>1</v>
      </c>
      <c r="F166" s="212" t="s">
        <v>1506</v>
      </c>
      <c r="G166" s="213" t="s">
        <v>1507</v>
      </c>
      <c r="H166" s="214" t="s">
        <v>1142</v>
      </c>
      <c r="I166" s="207" t="s">
        <v>1129</v>
      </c>
      <c r="J166" s="203" t="s">
        <v>127</v>
      </c>
      <c r="K166" s="226" t="s">
        <v>1142</v>
      </c>
    </row>
    <row r="167" spans="1:11">
      <c r="A167" s="217" t="b">
        <v>0</v>
      </c>
      <c r="B167" s="206" t="s">
        <v>35</v>
      </c>
      <c r="C167" s="206" t="s">
        <v>1142</v>
      </c>
      <c r="D167" s="206" t="b">
        <v>0</v>
      </c>
      <c r="E167" s="206" t="b">
        <v>1</v>
      </c>
      <c r="F167" s="212" t="s">
        <v>1508</v>
      </c>
      <c r="G167" s="213" t="s">
        <v>1509</v>
      </c>
      <c r="H167" s="214" t="s">
        <v>1142</v>
      </c>
      <c r="I167" s="207" t="s">
        <v>1129</v>
      </c>
      <c r="J167" s="203" t="s">
        <v>127</v>
      </c>
      <c r="K167" s="226" t="s">
        <v>1142</v>
      </c>
    </row>
    <row r="168" spans="1:11">
      <c r="A168" s="217" t="b">
        <v>0</v>
      </c>
      <c r="B168" s="206" t="s">
        <v>35</v>
      </c>
      <c r="C168" s="206" t="s">
        <v>1142</v>
      </c>
      <c r="D168" s="206" t="b">
        <v>0</v>
      </c>
      <c r="E168" s="206" t="b">
        <v>1</v>
      </c>
      <c r="F168" s="212" t="s">
        <v>1510</v>
      </c>
      <c r="G168" s="213" t="s">
        <v>1511</v>
      </c>
      <c r="H168" s="214" t="s">
        <v>1142</v>
      </c>
      <c r="I168" s="207" t="s">
        <v>1129</v>
      </c>
      <c r="J168" s="203" t="s">
        <v>127</v>
      </c>
      <c r="K168" s="226" t="s">
        <v>1142</v>
      </c>
    </row>
    <row r="169" spans="1:11">
      <c r="A169" s="217" t="b">
        <v>0</v>
      </c>
      <c r="B169" s="206" t="s">
        <v>35</v>
      </c>
      <c r="C169" s="206" t="s">
        <v>1142</v>
      </c>
      <c r="D169" s="206" t="b">
        <v>0</v>
      </c>
      <c r="E169" s="206" t="b">
        <v>1</v>
      </c>
      <c r="F169" s="212" t="s">
        <v>1512</v>
      </c>
      <c r="G169" s="213" t="s">
        <v>1513</v>
      </c>
      <c r="H169" s="214" t="s">
        <v>1142</v>
      </c>
      <c r="I169" s="207" t="s">
        <v>1129</v>
      </c>
      <c r="J169" s="203" t="s">
        <v>127</v>
      </c>
      <c r="K169" s="226" t="s">
        <v>1142</v>
      </c>
    </row>
    <row r="170" spans="1:11">
      <c r="A170" s="217" t="b">
        <v>0</v>
      </c>
      <c r="B170" s="206" t="s">
        <v>35</v>
      </c>
      <c r="C170" s="206" t="s">
        <v>1142</v>
      </c>
      <c r="D170" s="206" t="b">
        <v>0</v>
      </c>
      <c r="E170" s="206" t="b">
        <v>1</v>
      </c>
      <c r="F170" s="212" t="s">
        <v>1514</v>
      </c>
      <c r="G170" s="213" t="s">
        <v>1515</v>
      </c>
      <c r="H170" s="214" t="s">
        <v>1142</v>
      </c>
      <c r="I170" s="207" t="s">
        <v>1129</v>
      </c>
      <c r="J170" s="203" t="s">
        <v>127</v>
      </c>
      <c r="K170" s="226" t="s">
        <v>1142</v>
      </c>
    </row>
    <row r="171" spans="1:11">
      <c r="A171" s="217" t="b">
        <v>0</v>
      </c>
      <c r="B171" s="206" t="s">
        <v>35</v>
      </c>
      <c r="C171" s="206" t="s">
        <v>1142</v>
      </c>
      <c r="D171" s="206" t="b">
        <v>0</v>
      </c>
      <c r="E171" s="206" t="b">
        <v>1</v>
      </c>
      <c r="F171" s="212" t="s">
        <v>1516</v>
      </c>
      <c r="G171" s="241" t="s">
        <v>1517</v>
      </c>
      <c r="H171" s="214" t="s">
        <v>1142</v>
      </c>
      <c r="I171" s="207" t="s">
        <v>1129</v>
      </c>
      <c r="J171" s="203" t="s">
        <v>127</v>
      </c>
      <c r="K171" s="226" t="s">
        <v>1142</v>
      </c>
    </row>
    <row r="172" spans="1:11" ht="29">
      <c r="A172" s="217" t="b">
        <v>0</v>
      </c>
      <c r="B172" s="206" t="s">
        <v>35</v>
      </c>
      <c r="C172" s="206" t="s">
        <v>1142</v>
      </c>
      <c r="D172" s="206" t="b">
        <v>0</v>
      </c>
      <c r="E172" s="206" t="b">
        <v>1</v>
      </c>
      <c r="F172" s="212" t="s">
        <v>1395</v>
      </c>
      <c r="G172" s="213" t="s">
        <v>1518</v>
      </c>
      <c r="H172" s="214" t="s">
        <v>1142</v>
      </c>
      <c r="I172" s="207" t="s">
        <v>1129</v>
      </c>
      <c r="J172" s="203" t="s">
        <v>127</v>
      </c>
      <c r="K172" s="226" t="s">
        <v>1142</v>
      </c>
    </row>
    <row r="173" spans="1:11" ht="29">
      <c r="A173" s="217" t="b">
        <v>0</v>
      </c>
      <c r="B173" s="206" t="s">
        <v>35</v>
      </c>
      <c r="C173" s="206" t="s">
        <v>1142</v>
      </c>
      <c r="D173" s="206" t="b">
        <v>0</v>
      </c>
      <c r="E173" s="206" t="b">
        <v>1</v>
      </c>
      <c r="F173" s="212" t="s">
        <v>1519</v>
      </c>
      <c r="G173" s="213" t="s">
        <v>1520</v>
      </c>
      <c r="H173" s="214" t="s">
        <v>1142</v>
      </c>
      <c r="I173" s="207" t="s">
        <v>1129</v>
      </c>
      <c r="J173" s="203" t="s">
        <v>127</v>
      </c>
      <c r="K173" s="226" t="s">
        <v>1142</v>
      </c>
    </row>
    <row r="174" spans="1:11">
      <c r="A174" s="217" t="b">
        <v>0</v>
      </c>
      <c r="B174" s="206" t="s">
        <v>35</v>
      </c>
      <c r="C174" s="206" t="s">
        <v>1142</v>
      </c>
      <c r="D174" s="206" t="b">
        <v>0</v>
      </c>
      <c r="E174" s="206" t="b">
        <v>1</v>
      </c>
      <c r="F174" s="212" t="s">
        <v>1521</v>
      </c>
      <c r="G174" s="213" t="s">
        <v>1522</v>
      </c>
      <c r="H174" s="214" t="s">
        <v>1142</v>
      </c>
      <c r="I174" s="207" t="s">
        <v>1129</v>
      </c>
      <c r="J174" s="203" t="s">
        <v>127</v>
      </c>
      <c r="K174" s="226" t="s">
        <v>1142</v>
      </c>
    </row>
    <row r="175" spans="1:11" ht="43.5">
      <c r="A175" s="217" t="b">
        <v>0</v>
      </c>
      <c r="B175" s="206" t="s">
        <v>15</v>
      </c>
      <c r="C175" s="206" t="s">
        <v>1142</v>
      </c>
      <c r="D175" s="206" t="b">
        <v>0</v>
      </c>
      <c r="E175" s="206" t="b">
        <v>1</v>
      </c>
      <c r="F175" s="242" t="s">
        <v>1523</v>
      </c>
      <c r="G175" s="213" t="s">
        <v>1142</v>
      </c>
      <c r="H175" s="214" t="s">
        <v>1142</v>
      </c>
      <c r="I175" s="207" t="s">
        <v>1129</v>
      </c>
      <c r="J175" s="203" t="s">
        <v>127</v>
      </c>
      <c r="K175" s="226" t="s">
        <v>1142</v>
      </c>
    </row>
    <row r="176" spans="1:11">
      <c r="A176" s="217" t="b">
        <v>0</v>
      </c>
      <c r="B176" s="206" t="s">
        <v>35</v>
      </c>
      <c r="C176" s="206" t="s">
        <v>1142</v>
      </c>
      <c r="D176" s="206" t="b">
        <v>0</v>
      </c>
      <c r="E176" s="206" t="b">
        <v>1</v>
      </c>
      <c r="F176" s="212" t="s">
        <v>1524</v>
      </c>
      <c r="G176" s="213" t="s">
        <v>1525</v>
      </c>
      <c r="H176" s="230" t="s">
        <v>1142</v>
      </c>
      <c r="I176" s="207" t="s">
        <v>1129</v>
      </c>
      <c r="J176" s="203" t="s">
        <v>127</v>
      </c>
      <c r="K176" s="226" t="s">
        <v>1142</v>
      </c>
    </row>
    <row r="177" spans="1:11">
      <c r="A177" s="217" t="b">
        <v>0</v>
      </c>
      <c r="B177" s="206" t="s">
        <v>35</v>
      </c>
      <c r="C177" s="206" t="s">
        <v>1142</v>
      </c>
      <c r="D177" s="206" t="b">
        <v>0</v>
      </c>
      <c r="E177" s="206" t="b">
        <v>1</v>
      </c>
      <c r="F177" s="212" t="s">
        <v>1526</v>
      </c>
      <c r="G177" s="213" t="s">
        <v>1527</v>
      </c>
      <c r="H177" s="214" t="s">
        <v>1142</v>
      </c>
      <c r="I177" s="207" t="s">
        <v>1129</v>
      </c>
      <c r="J177" s="203" t="s">
        <v>127</v>
      </c>
      <c r="K177" s="226" t="s">
        <v>1142</v>
      </c>
    </row>
    <row r="178" spans="1:11" ht="29">
      <c r="A178" s="217" t="b">
        <v>0</v>
      </c>
      <c r="B178" s="206" t="s">
        <v>35</v>
      </c>
      <c r="C178" s="206" t="s">
        <v>1142</v>
      </c>
      <c r="D178" s="206" t="b">
        <v>0</v>
      </c>
      <c r="E178" s="206" t="b">
        <v>1</v>
      </c>
      <c r="F178" s="212" t="s">
        <v>1528</v>
      </c>
      <c r="G178" s="213" t="s">
        <v>1529</v>
      </c>
      <c r="H178" s="214" t="s">
        <v>1142</v>
      </c>
      <c r="I178" s="207" t="s">
        <v>1129</v>
      </c>
      <c r="J178" s="203" t="s">
        <v>127</v>
      </c>
      <c r="K178" s="226" t="s">
        <v>1142</v>
      </c>
    </row>
    <row r="179" spans="1:11" ht="29">
      <c r="A179" s="217" t="b">
        <v>0</v>
      </c>
      <c r="B179" s="206" t="s">
        <v>35</v>
      </c>
      <c r="C179" s="206" t="s">
        <v>1142</v>
      </c>
      <c r="D179" s="206" t="b">
        <v>0</v>
      </c>
      <c r="E179" s="206" t="b">
        <v>1</v>
      </c>
      <c r="F179" s="212" t="s">
        <v>1530</v>
      </c>
      <c r="G179" s="213" t="s">
        <v>1531</v>
      </c>
      <c r="H179" s="214" t="s">
        <v>1142</v>
      </c>
      <c r="I179" s="207" t="s">
        <v>1129</v>
      </c>
      <c r="J179" s="203" t="s">
        <v>127</v>
      </c>
      <c r="K179" s="226" t="s">
        <v>1142</v>
      </c>
    </row>
    <row r="180" spans="1:11" ht="29">
      <c r="A180" s="217" t="b">
        <v>0</v>
      </c>
      <c r="B180" s="206" t="s">
        <v>35</v>
      </c>
      <c r="C180" s="206" t="s">
        <v>1142</v>
      </c>
      <c r="D180" s="206" t="b">
        <v>0</v>
      </c>
      <c r="E180" s="206" t="b">
        <v>1</v>
      </c>
      <c r="F180" s="212" t="s">
        <v>1532</v>
      </c>
      <c r="G180" s="213" t="s">
        <v>1533</v>
      </c>
      <c r="H180" s="214" t="s">
        <v>1142</v>
      </c>
      <c r="I180" s="207" t="s">
        <v>1129</v>
      </c>
      <c r="J180" s="203" t="s">
        <v>127</v>
      </c>
      <c r="K180" s="226" t="s">
        <v>1142</v>
      </c>
    </row>
    <row r="181" spans="1:11" ht="29">
      <c r="A181" s="217" t="b">
        <v>0</v>
      </c>
      <c r="B181" s="206" t="s">
        <v>35</v>
      </c>
      <c r="C181" s="206" t="s">
        <v>1142</v>
      </c>
      <c r="D181" s="206" t="b">
        <v>0</v>
      </c>
      <c r="E181" s="206" t="b">
        <v>1</v>
      </c>
      <c r="F181" s="212" t="s">
        <v>1534</v>
      </c>
      <c r="G181" s="213" t="s">
        <v>1535</v>
      </c>
      <c r="H181" s="214" t="s">
        <v>1142</v>
      </c>
      <c r="I181" s="207" t="s">
        <v>1129</v>
      </c>
      <c r="J181" s="203" t="s">
        <v>127</v>
      </c>
      <c r="K181" s="226" t="s">
        <v>1142</v>
      </c>
    </row>
    <row r="182" spans="1:11" ht="29">
      <c r="A182" s="217" t="b">
        <v>0</v>
      </c>
      <c r="B182" s="206" t="s">
        <v>35</v>
      </c>
      <c r="C182" s="206" t="s">
        <v>1142</v>
      </c>
      <c r="D182" s="206" t="b">
        <v>0</v>
      </c>
      <c r="E182" s="206" t="b">
        <v>1</v>
      </c>
      <c r="F182" s="212" t="s">
        <v>1536</v>
      </c>
      <c r="G182" s="213" t="s">
        <v>1537</v>
      </c>
      <c r="H182" s="214" t="s">
        <v>1142</v>
      </c>
      <c r="I182" s="207" t="s">
        <v>1129</v>
      </c>
      <c r="J182" s="203" t="s">
        <v>127</v>
      </c>
      <c r="K182" s="226" t="s">
        <v>1142</v>
      </c>
    </row>
  </sheetData>
  <mergeCells count="2">
    <mergeCell ref="G1:H1"/>
    <mergeCell ref="G2:H2"/>
  </mergeCells>
  <phoneticPr fontId="8" type="noConversion"/>
  <dataValidations count="1">
    <dataValidation type="list" allowBlank="1" showInputMessage="1" showErrorMessage="1" sqref="C2:E2 G2" xr:uid="{00000000-0002-0000-0C00-000000000000}">
      <formula1>SectionNames</formula1>
    </dataValidation>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1"/>
  </sheetPr>
  <dimension ref="A1:K136"/>
  <sheetViews>
    <sheetView topLeftCell="F91" zoomScaleNormal="100" workbookViewId="0">
      <selection activeCell="I90" sqref="I90"/>
    </sheetView>
  </sheetViews>
  <sheetFormatPr defaultRowHeight="14.5"/>
  <cols>
    <col min="1" max="1" width="18.54296875" hidden="1" customWidth="1"/>
    <col min="2" max="2" width="21.453125" hidden="1" customWidth="1"/>
    <col min="3" max="3" width="18.54296875" hidden="1" customWidth="1"/>
    <col min="4" max="5" width="12.453125" hidden="1" customWidth="1"/>
    <col min="6" max="6" width="21" customWidth="1"/>
    <col min="7" max="7" width="64.54296875" customWidth="1"/>
    <col min="8" max="8" width="38.453125" customWidth="1"/>
    <col min="9" max="9" width="13.54296875" customWidth="1"/>
    <col min="10" max="10" width="12.54296875" customWidth="1"/>
    <col min="11" max="11" width="25.1796875" customWidth="1"/>
  </cols>
  <sheetData>
    <row r="1" spans="1:11">
      <c r="C1" s="18"/>
      <c r="D1" s="18"/>
      <c r="E1" s="18"/>
      <c r="F1" s="8" t="s">
        <v>1</v>
      </c>
      <c r="G1" s="163" t="str">
        <f>IF(Metadata!B1="","No series name entered",Metadata!B1)</f>
        <v>HP EliteBook 865 164 inch G10 Notebook PC</v>
      </c>
    </row>
    <row r="2" spans="1:11">
      <c r="F2" s="12" t="s">
        <v>2</v>
      </c>
      <c r="G2" s="1" t="s">
        <v>3</v>
      </c>
    </row>
    <row r="3" spans="1:11">
      <c r="F3" s="12" t="s">
        <v>43</v>
      </c>
      <c r="G3" s="1" t="str">
        <f>Metadata!B2</f>
        <v>Lox16</v>
      </c>
    </row>
    <row r="4" spans="1:11" ht="29">
      <c r="A4" s="8" t="s">
        <v>4</v>
      </c>
      <c r="B4" s="8" t="s">
        <v>5</v>
      </c>
      <c r="C4" s="8" t="s">
        <v>6</v>
      </c>
      <c r="D4" s="8" t="s">
        <v>113</v>
      </c>
      <c r="E4" s="8" t="s">
        <v>114</v>
      </c>
      <c r="F4" s="8" t="s">
        <v>9</v>
      </c>
      <c r="G4" s="8" t="s">
        <v>10</v>
      </c>
      <c r="H4" s="8" t="s">
        <v>11</v>
      </c>
      <c r="I4" s="8" t="s">
        <v>12</v>
      </c>
      <c r="J4" s="29" t="s">
        <v>13</v>
      </c>
      <c r="K4" s="29" t="s">
        <v>14</v>
      </c>
    </row>
    <row r="5" spans="1:11">
      <c r="A5" s="9"/>
      <c r="B5" s="10" t="s">
        <v>15</v>
      </c>
      <c r="C5" s="10"/>
      <c r="D5" s="10" t="b">
        <v>0</v>
      </c>
      <c r="E5" s="10" t="b">
        <v>1</v>
      </c>
      <c r="F5" s="11" t="s">
        <v>813</v>
      </c>
      <c r="G5" s="11"/>
      <c r="H5" s="11"/>
      <c r="I5" s="11"/>
      <c r="J5" s="11"/>
      <c r="K5" s="11"/>
    </row>
    <row r="6" spans="1:11">
      <c r="A6" s="20"/>
      <c r="B6" s="21" t="s">
        <v>17</v>
      </c>
      <c r="C6" s="21"/>
      <c r="D6" s="21" t="b">
        <v>0</v>
      </c>
      <c r="E6" s="21" t="b">
        <v>1</v>
      </c>
      <c r="F6" s="14" t="s">
        <v>18</v>
      </c>
      <c r="G6" s="14" t="s">
        <v>1538</v>
      </c>
      <c r="H6" s="14" t="s">
        <v>1539</v>
      </c>
      <c r="I6" s="14"/>
      <c r="J6" s="41" t="s">
        <v>127</v>
      </c>
      <c r="K6" s="23"/>
    </row>
    <row r="7" spans="1:11" hidden="1">
      <c r="A7" s="5" t="b">
        <v>1</v>
      </c>
      <c r="B7" s="6" t="s">
        <v>21</v>
      </c>
      <c r="C7" s="6"/>
      <c r="D7" s="6" t="b">
        <v>0</v>
      </c>
      <c r="E7" s="6" t="b">
        <v>1</v>
      </c>
      <c r="F7" s="1" t="s">
        <v>22</v>
      </c>
      <c r="G7" s="1" t="s">
        <v>60</v>
      </c>
      <c r="H7" s="23"/>
      <c r="I7" s="22"/>
      <c r="J7" s="41" t="s">
        <v>127</v>
      </c>
      <c r="K7" s="23"/>
    </row>
    <row r="8" spans="1:11" hidden="1">
      <c r="A8" s="5" t="b">
        <v>0</v>
      </c>
      <c r="B8" s="6" t="s">
        <v>24</v>
      </c>
      <c r="C8" s="6"/>
      <c r="D8" s="6" t="b">
        <v>0</v>
      </c>
      <c r="E8" s="6" t="b">
        <v>1</v>
      </c>
      <c r="F8" s="1" t="s">
        <v>25</v>
      </c>
      <c r="G8" s="1">
        <v>2</v>
      </c>
      <c r="H8" s="23"/>
      <c r="I8" s="22"/>
      <c r="J8" s="41" t="s">
        <v>127</v>
      </c>
      <c r="K8" s="23"/>
    </row>
    <row r="9" spans="1:11" hidden="1">
      <c r="A9" s="5" t="b">
        <v>0</v>
      </c>
      <c r="B9" s="6" t="s">
        <v>26</v>
      </c>
      <c r="C9" s="6"/>
      <c r="D9" s="6" t="b">
        <v>0</v>
      </c>
      <c r="E9" s="6" t="b">
        <v>1</v>
      </c>
      <c r="F9" s="1" t="s">
        <v>27</v>
      </c>
      <c r="G9" s="1"/>
      <c r="H9" s="23"/>
      <c r="I9" s="22"/>
      <c r="J9" s="41" t="s">
        <v>127</v>
      </c>
      <c r="K9" s="23"/>
    </row>
    <row r="10" spans="1:11" hidden="1">
      <c r="A10" s="5" t="b">
        <v>1</v>
      </c>
      <c r="B10" s="6" t="s">
        <v>28</v>
      </c>
      <c r="C10" s="6"/>
      <c r="D10" s="6" t="b">
        <v>0</v>
      </c>
      <c r="E10" s="6" t="b">
        <v>1</v>
      </c>
      <c r="F10" s="1" t="s">
        <v>29</v>
      </c>
      <c r="G10" s="1" t="s">
        <v>30</v>
      </c>
      <c r="H10" s="23"/>
      <c r="I10" s="22"/>
      <c r="J10" s="41" t="s">
        <v>127</v>
      </c>
      <c r="K10" s="23"/>
    </row>
    <row r="11" spans="1:11" hidden="1">
      <c r="A11" s="3"/>
      <c r="B11" s="4" t="s">
        <v>31</v>
      </c>
      <c r="C11" s="4"/>
      <c r="D11" s="4" t="b">
        <v>0</v>
      </c>
      <c r="E11" s="4" t="b">
        <v>1</v>
      </c>
      <c r="F11" s="7" t="s">
        <v>32</v>
      </c>
      <c r="G11" s="7"/>
      <c r="H11" s="7"/>
      <c r="I11" s="7"/>
      <c r="J11" s="41" t="s">
        <v>127</v>
      </c>
      <c r="K11" s="7"/>
    </row>
    <row r="12" spans="1:11">
      <c r="A12" s="5" t="b">
        <v>1</v>
      </c>
      <c r="B12" s="6" t="s">
        <v>33</v>
      </c>
      <c r="C12" s="6"/>
      <c r="D12" s="6" t="b">
        <v>0</v>
      </c>
      <c r="E12" s="6" t="b">
        <v>1</v>
      </c>
      <c r="F12" s="24" t="s">
        <v>1389</v>
      </c>
      <c r="G12" s="44" t="s">
        <v>1540</v>
      </c>
      <c r="H12" s="35" t="s">
        <v>1541</v>
      </c>
      <c r="I12" s="1" t="s">
        <v>1129</v>
      </c>
      <c r="J12" s="41" t="s">
        <v>127</v>
      </c>
      <c r="K12" s="23"/>
    </row>
    <row r="13" spans="1:11" ht="29">
      <c r="A13" s="5" t="b">
        <v>0</v>
      </c>
      <c r="B13" s="6" t="s">
        <v>35</v>
      </c>
      <c r="C13" s="6"/>
      <c r="D13" s="6" t="b">
        <v>0</v>
      </c>
      <c r="E13" s="6" t="b">
        <v>1</v>
      </c>
      <c r="F13" s="24" t="s">
        <v>1542</v>
      </c>
      <c r="G13" s="44" t="s">
        <v>1543</v>
      </c>
      <c r="H13" s="35" t="s">
        <v>1544</v>
      </c>
      <c r="I13" s="1" t="s">
        <v>1129</v>
      </c>
      <c r="J13" s="41" t="s">
        <v>127</v>
      </c>
      <c r="K13" s="23"/>
    </row>
    <row r="14" spans="1:11">
      <c r="A14" s="5" t="b">
        <v>0</v>
      </c>
      <c r="B14" s="6" t="s">
        <v>33</v>
      </c>
      <c r="C14" s="6"/>
      <c r="D14" s="6" t="b">
        <v>0</v>
      </c>
      <c r="E14" s="6" t="b">
        <v>1</v>
      </c>
      <c r="F14" s="24" t="s">
        <v>1545</v>
      </c>
      <c r="G14" s="48" t="s">
        <v>1546</v>
      </c>
      <c r="H14" s="38" t="s">
        <v>1547</v>
      </c>
      <c r="I14" s="1" t="s">
        <v>1129</v>
      </c>
      <c r="J14" s="41" t="s">
        <v>127</v>
      </c>
      <c r="K14" s="23"/>
    </row>
    <row r="15" spans="1:11" ht="101.5">
      <c r="A15" s="5" t="b">
        <v>0</v>
      </c>
      <c r="B15" s="6" t="s">
        <v>35</v>
      </c>
      <c r="C15" s="6"/>
      <c r="D15" s="6" t="b">
        <v>0</v>
      </c>
      <c r="E15" s="6" t="b">
        <v>1</v>
      </c>
      <c r="F15" s="25" t="s">
        <v>1548</v>
      </c>
      <c r="G15" s="44" t="s">
        <v>1549</v>
      </c>
      <c r="H15" s="35" t="s">
        <v>1550</v>
      </c>
      <c r="I15" s="1" t="s">
        <v>1129</v>
      </c>
      <c r="J15" s="41" t="s">
        <v>127</v>
      </c>
      <c r="K15" s="23"/>
    </row>
    <row r="16" spans="1:11">
      <c r="A16" s="5" t="b">
        <v>0</v>
      </c>
      <c r="B16" s="6" t="s">
        <v>35</v>
      </c>
      <c r="C16" s="6"/>
      <c r="D16" s="6" t="b">
        <v>0</v>
      </c>
      <c r="E16" s="6" t="b">
        <v>1</v>
      </c>
      <c r="F16" s="22" t="s">
        <v>1551</v>
      </c>
      <c r="G16" s="44" t="s">
        <v>1552</v>
      </c>
      <c r="H16" s="35" t="s">
        <v>1553</v>
      </c>
      <c r="I16" s="1" t="s">
        <v>1129</v>
      </c>
      <c r="J16" s="41" t="s">
        <v>127</v>
      </c>
      <c r="K16" s="23"/>
    </row>
    <row r="17" spans="1:11">
      <c r="A17" s="5" t="b">
        <v>0</v>
      </c>
      <c r="B17" s="6" t="s">
        <v>35</v>
      </c>
      <c r="C17" s="6"/>
      <c r="D17" s="6" t="b">
        <v>0</v>
      </c>
      <c r="E17" s="6" t="b">
        <v>1</v>
      </c>
      <c r="F17" s="22" t="s">
        <v>1554</v>
      </c>
      <c r="G17" s="44" t="s">
        <v>1555</v>
      </c>
      <c r="H17" s="35" t="s">
        <v>1556</v>
      </c>
      <c r="I17" s="1" t="s">
        <v>1129</v>
      </c>
      <c r="J17" s="41" t="s">
        <v>127</v>
      </c>
      <c r="K17" s="23"/>
    </row>
    <row r="18" spans="1:11">
      <c r="A18" s="5" t="b">
        <v>0</v>
      </c>
      <c r="B18" s="6" t="s">
        <v>33</v>
      </c>
      <c r="C18" s="6"/>
      <c r="D18" s="6" t="b">
        <v>0</v>
      </c>
      <c r="E18" s="6" t="b">
        <v>1</v>
      </c>
      <c r="F18" s="24" t="s">
        <v>1557</v>
      </c>
      <c r="G18" s="48"/>
      <c r="H18" s="38"/>
      <c r="I18" s="1" t="s">
        <v>1129</v>
      </c>
      <c r="J18" s="41" t="s">
        <v>20</v>
      </c>
      <c r="K18" s="23"/>
    </row>
    <row r="19" spans="1:11" ht="72.5">
      <c r="A19" s="5" t="b">
        <v>0</v>
      </c>
      <c r="B19" s="6" t="s">
        <v>35</v>
      </c>
      <c r="C19" s="6"/>
      <c r="D19" s="6" t="b">
        <v>0</v>
      </c>
      <c r="E19" s="6" t="b">
        <v>1</v>
      </c>
      <c r="F19" s="22" t="s">
        <v>1558</v>
      </c>
      <c r="G19" s="44" t="s">
        <v>1559</v>
      </c>
      <c r="H19" s="35" t="s">
        <v>1139</v>
      </c>
      <c r="I19" s="1" t="s">
        <v>1129</v>
      </c>
      <c r="J19" s="41" t="s">
        <v>127</v>
      </c>
      <c r="K19" s="23"/>
    </row>
    <row r="20" spans="1:11">
      <c r="A20" s="5" t="b">
        <v>0</v>
      </c>
      <c r="B20" s="6" t="s">
        <v>35</v>
      </c>
      <c r="C20" s="6"/>
      <c r="D20" s="6" t="b">
        <v>0</v>
      </c>
      <c r="E20" s="6" t="b">
        <v>1</v>
      </c>
      <c r="F20" s="22" t="s">
        <v>1560</v>
      </c>
      <c r="G20" s="44" t="s">
        <v>1561</v>
      </c>
      <c r="H20" s="35" t="s">
        <v>1562</v>
      </c>
      <c r="I20" s="1" t="s">
        <v>1129</v>
      </c>
      <c r="J20" s="41" t="s">
        <v>127</v>
      </c>
      <c r="K20" s="23"/>
    </row>
    <row r="21" spans="1:11">
      <c r="A21" s="5" t="b">
        <v>0</v>
      </c>
      <c r="B21" s="6" t="s">
        <v>35</v>
      </c>
      <c r="C21" s="6"/>
      <c r="D21" s="6" t="b">
        <v>0</v>
      </c>
      <c r="E21" s="6" t="b">
        <v>1</v>
      </c>
      <c r="F21" s="22" t="s">
        <v>1563</v>
      </c>
      <c r="G21" s="44" t="s">
        <v>1564</v>
      </c>
      <c r="H21" s="35" t="s">
        <v>1565</v>
      </c>
      <c r="I21" s="1" t="s">
        <v>1129</v>
      </c>
      <c r="J21" s="41" t="s">
        <v>127</v>
      </c>
      <c r="K21" s="23"/>
    </row>
    <row r="22" spans="1:11" ht="29">
      <c r="A22" s="5" t="b">
        <v>0</v>
      </c>
      <c r="B22" s="6" t="s">
        <v>35</v>
      </c>
      <c r="C22" s="6"/>
      <c r="D22" s="6" t="b">
        <v>0</v>
      </c>
      <c r="E22" s="6" t="b">
        <v>1</v>
      </c>
      <c r="F22" s="22" t="s">
        <v>1566</v>
      </c>
      <c r="G22" s="44" t="s">
        <v>1567</v>
      </c>
      <c r="H22" s="35" t="s">
        <v>1568</v>
      </c>
      <c r="I22" s="1" t="s">
        <v>1129</v>
      </c>
      <c r="J22" s="41" t="s">
        <v>127</v>
      </c>
      <c r="K22" s="23"/>
    </row>
    <row r="23" spans="1:11">
      <c r="A23" s="5" t="b">
        <v>0</v>
      </c>
      <c r="B23" s="6" t="s">
        <v>33</v>
      </c>
      <c r="C23" s="6"/>
      <c r="D23" s="6" t="b">
        <v>0</v>
      </c>
      <c r="E23" s="6" t="b">
        <v>1</v>
      </c>
      <c r="F23" s="24" t="s">
        <v>1569</v>
      </c>
      <c r="G23" s="48"/>
      <c r="H23" s="38"/>
      <c r="I23" s="1" t="s">
        <v>1129</v>
      </c>
      <c r="J23" s="41" t="s">
        <v>20</v>
      </c>
      <c r="K23" s="23"/>
    </row>
    <row r="24" spans="1:11">
      <c r="A24" s="5" t="b">
        <v>0</v>
      </c>
      <c r="B24" s="6" t="s">
        <v>35</v>
      </c>
      <c r="C24" s="6"/>
      <c r="D24" s="6" t="b">
        <v>0</v>
      </c>
      <c r="E24" s="6" t="b">
        <v>1</v>
      </c>
      <c r="F24" s="24" t="s">
        <v>1569</v>
      </c>
      <c r="G24" s="40" t="s">
        <v>1570</v>
      </c>
      <c r="H24" s="31" t="s">
        <v>1571</v>
      </c>
      <c r="I24" s="1" t="s">
        <v>1129</v>
      </c>
      <c r="J24" s="41" t="s">
        <v>127</v>
      </c>
      <c r="K24" s="23"/>
    </row>
    <row r="25" spans="1:11">
      <c r="A25" s="5" t="b">
        <v>0</v>
      </c>
      <c r="B25" s="6" t="s">
        <v>33</v>
      </c>
      <c r="C25" s="6"/>
      <c r="D25" s="6" t="b">
        <v>0</v>
      </c>
      <c r="E25" s="6" t="b">
        <v>1</v>
      </c>
      <c r="F25" s="24" t="s">
        <v>1572</v>
      </c>
      <c r="G25" s="48"/>
      <c r="H25" s="38"/>
      <c r="I25" s="1" t="s">
        <v>1129</v>
      </c>
      <c r="J25" s="41" t="s">
        <v>20</v>
      </c>
      <c r="K25" s="23"/>
    </row>
    <row r="26" spans="1:11">
      <c r="A26" s="5" t="b">
        <v>0</v>
      </c>
      <c r="B26" s="6" t="s">
        <v>35</v>
      </c>
      <c r="C26" s="6"/>
      <c r="D26" s="6" t="b">
        <v>0</v>
      </c>
      <c r="E26" s="6" t="b">
        <v>1</v>
      </c>
      <c r="F26" s="25" t="s">
        <v>1573</v>
      </c>
      <c r="G26" s="44" t="s">
        <v>1574</v>
      </c>
      <c r="H26" s="35" t="s">
        <v>1574</v>
      </c>
      <c r="I26" s="1" t="s">
        <v>1129</v>
      </c>
      <c r="J26" s="41" t="s">
        <v>127</v>
      </c>
      <c r="K26" s="23"/>
    </row>
    <row r="27" spans="1:11" ht="29">
      <c r="A27" s="5" t="b">
        <v>0</v>
      </c>
      <c r="B27" s="6" t="s">
        <v>35</v>
      </c>
      <c r="C27" s="6"/>
      <c r="D27" s="6" t="b">
        <v>0</v>
      </c>
      <c r="E27" s="6" t="b">
        <v>1</v>
      </c>
      <c r="F27" s="24" t="s">
        <v>1575</v>
      </c>
      <c r="G27" s="254" t="s">
        <v>1576</v>
      </c>
      <c r="H27" s="38" t="s">
        <v>1576</v>
      </c>
      <c r="I27" s="1" t="s">
        <v>1129</v>
      </c>
      <c r="J27" s="41" t="s">
        <v>127</v>
      </c>
      <c r="K27" s="23"/>
    </row>
    <row r="28" spans="1:11" ht="29">
      <c r="A28" s="5" t="b">
        <v>0</v>
      </c>
      <c r="B28" s="6" t="s">
        <v>35</v>
      </c>
      <c r="C28" s="6"/>
      <c r="D28" s="6" t="b">
        <v>0</v>
      </c>
      <c r="E28" s="6" t="b">
        <v>1</v>
      </c>
      <c r="F28" s="25" t="s">
        <v>1575</v>
      </c>
      <c r="G28" s="44"/>
      <c r="H28" s="35" t="s">
        <v>1576</v>
      </c>
      <c r="I28" s="1" t="s">
        <v>1129</v>
      </c>
      <c r="J28" s="41" t="s">
        <v>20</v>
      </c>
      <c r="K28" s="23"/>
    </row>
    <row r="29" spans="1:11">
      <c r="A29" s="5" t="b">
        <v>0</v>
      </c>
      <c r="B29" s="6" t="s">
        <v>35</v>
      </c>
      <c r="C29" s="6"/>
      <c r="D29" s="6" t="b">
        <v>0</v>
      </c>
      <c r="E29" s="6" t="b">
        <v>1</v>
      </c>
      <c r="F29" s="25" t="s">
        <v>1577</v>
      </c>
      <c r="G29" s="44" t="s">
        <v>1578</v>
      </c>
      <c r="H29" s="35" t="s">
        <v>1579</v>
      </c>
      <c r="I29" s="1" t="s">
        <v>1129</v>
      </c>
      <c r="J29" s="41" t="s">
        <v>127</v>
      </c>
      <c r="K29" s="23"/>
    </row>
    <row r="30" spans="1:11">
      <c r="A30" s="5" t="b">
        <v>0</v>
      </c>
      <c r="B30" s="6" t="s">
        <v>35</v>
      </c>
      <c r="C30" s="6"/>
      <c r="D30" s="6" t="b">
        <v>0</v>
      </c>
      <c r="E30" s="6" t="b">
        <v>1</v>
      </c>
      <c r="F30" s="25" t="s">
        <v>1580</v>
      </c>
      <c r="G30" s="44" t="s">
        <v>1581</v>
      </c>
      <c r="H30" s="35" t="s">
        <v>1581</v>
      </c>
      <c r="I30" s="1" t="s">
        <v>1129</v>
      </c>
      <c r="J30" s="41" t="s">
        <v>127</v>
      </c>
      <c r="K30" s="23"/>
    </row>
    <row r="31" spans="1:11">
      <c r="A31" s="5" t="b">
        <v>0</v>
      </c>
      <c r="B31" s="6" t="s">
        <v>35</v>
      </c>
      <c r="C31" s="6"/>
      <c r="D31" s="6" t="b">
        <v>0</v>
      </c>
      <c r="E31" s="6" t="b">
        <v>1</v>
      </c>
      <c r="F31" s="25" t="s">
        <v>1582</v>
      </c>
      <c r="G31" s="43" t="s">
        <v>1583</v>
      </c>
      <c r="H31" s="39" t="s">
        <v>1583</v>
      </c>
      <c r="I31" s="1" t="s">
        <v>1129</v>
      </c>
      <c r="J31" s="41" t="s">
        <v>127</v>
      </c>
      <c r="K31" s="23"/>
    </row>
    <row r="32" spans="1:11" ht="130.5">
      <c r="A32" s="5" t="b">
        <v>0</v>
      </c>
      <c r="B32" s="6" t="s">
        <v>38</v>
      </c>
      <c r="C32" s="6"/>
      <c r="D32" s="6" t="b">
        <v>0</v>
      </c>
      <c r="E32" s="6" t="b">
        <v>1</v>
      </c>
      <c r="F32" s="24" t="s">
        <v>1584</v>
      </c>
      <c r="G32" s="48" t="s">
        <v>1585</v>
      </c>
      <c r="H32" s="38" t="s">
        <v>1586</v>
      </c>
      <c r="I32" s="26" t="s">
        <v>1129</v>
      </c>
      <c r="J32" s="41" t="s">
        <v>127</v>
      </c>
      <c r="K32" s="23"/>
    </row>
    <row r="33" spans="1:11" ht="29">
      <c r="A33" s="8" t="s">
        <v>4</v>
      </c>
      <c r="B33" s="8" t="s">
        <v>5</v>
      </c>
      <c r="C33" s="8" t="s">
        <v>6</v>
      </c>
      <c r="D33" s="8" t="s">
        <v>113</v>
      </c>
      <c r="E33" s="8" t="s">
        <v>114</v>
      </c>
      <c r="F33" s="8" t="s">
        <v>9</v>
      </c>
      <c r="G33" s="8" t="s">
        <v>10</v>
      </c>
      <c r="H33" s="8" t="s">
        <v>11</v>
      </c>
      <c r="I33" s="8" t="s">
        <v>12</v>
      </c>
      <c r="J33" s="29" t="s">
        <v>13</v>
      </c>
      <c r="K33" s="29" t="s">
        <v>14</v>
      </c>
    </row>
    <row r="34" spans="1:11">
      <c r="A34" s="9"/>
      <c r="B34" s="10" t="s">
        <v>15</v>
      </c>
      <c r="C34" s="10"/>
      <c r="D34" s="10" t="b">
        <v>0</v>
      </c>
      <c r="E34" s="10" t="b">
        <v>1</v>
      </c>
      <c r="F34" s="11" t="s">
        <v>813</v>
      </c>
      <c r="G34" s="11"/>
      <c r="H34" s="11"/>
      <c r="I34" s="11"/>
      <c r="J34" s="11"/>
      <c r="K34" s="11"/>
    </row>
    <row r="35" spans="1:11">
      <c r="A35" s="20"/>
      <c r="B35" s="21" t="s">
        <v>17</v>
      </c>
      <c r="C35" s="21"/>
      <c r="D35" s="21" t="b">
        <v>0</v>
      </c>
      <c r="E35" s="21" t="b">
        <v>1</v>
      </c>
      <c r="F35" s="14" t="s">
        <v>18</v>
      </c>
      <c r="G35" s="14" t="s">
        <v>1587</v>
      </c>
      <c r="H35" s="14" t="s">
        <v>1588</v>
      </c>
      <c r="I35" s="14"/>
      <c r="J35" s="41" t="s">
        <v>127</v>
      </c>
      <c r="K35" s="23"/>
    </row>
    <row r="36" spans="1:11" hidden="1">
      <c r="A36" s="5" t="b">
        <v>1</v>
      </c>
      <c r="B36" s="6" t="s">
        <v>21</v>
      </c>
      <c r="C36" s="6"/>
      <c r="D36" s="6" t="b">
        <v>0</v>
      </c>
      <c r="E36" s="6" t="b">
        <v>1</v>
      </c>
      <c r="F36" s="1" t="s">
        <v>22</v>
      </c>
      <c r="G36" s="1" t="s">
        <v>60</v>
      </c>
      <c r="H36" s="23"/>
      <c r="I36" s="22"/>
      <c r="J36" s="41" t="s">
        <v>127</v>
      </c>
      <c r="K36" s="23"/>
    </row>
    <row r="37" spans="1:11" hidden="1">
      <c r="A37" s="5" t="b">
        <v>0</v>
      </c>
      <c r="B37" s="6" t="s">
        <v>24</v>
      </c>
      <c r="C37" s="6"/>
      <c r="D37" s="6" t="b">
        <v>0</v>
      </c>
      <c r="E37" s="6" t="b">
        <v>1</v>
      </c>
      <c r="F37" s="1" t="s">
        <v>25</v>
      </c>
      <c r="G37" s="1">
        <v>2</v>
      </c>
      <c r="H37" s="23"/>
      <c r="I37" s="22"/>
      <c r="J37" s="41" t="s">
        <v>127</v>
      </c>
      <c r="K37" s="23"/>
    </row>
    <row r="38" spans="1:11" hidden="1">
      <c r="A38" s="5" t="b">
        <v>0</v>
      </c>
      <c r="B38" s="6" t="s">
        <v>26</v>
      </c>
      <c r="C38" s="6"/>
      <c r="D38" s="6" t="b">
        <v>0</v>
      </c>
      <c r="E38" s="6" t="b">
        <v>1</v>
      </c>
      <c r="F38" s="1" t="s">
        <v>27</v>
      </c>
      <c r="G38" s="1"/>
      <c r="H38" s="23"/>
      <c r="I38" s="22"/>
      <c r="J38" s="41" t="s">
        <v>127</v>
      </c>
      <c r="K38" s="23"/>
    </row>
    <row r="39" spans="1:11" hidden="1">
      <c r="A39" s="5" t="b">
        <v>1</v>
      </c>
      <c r="B39" s="6" t="s">
        <v>28</v>
      </c>
      <c r="C39" s="6"/>
      <c r="D39" s="6" t="b">
        <v>0</v>
      </c>
      <c r="E39" s="6" t="b">
        <v>1</v>
      </c>
      <c r="F39" s="1" t="s">
        <v>29</v>
      </c>
      <c r="G39" s="1" t="s">
        <v>30</v>
      </c>
      <c r="H39" s="23"/>
      <c r="I39" s="22"/>
      <c r="J39" s="41" t="s">
        <v>127</v>
      </c>
      <c r="K39" s="23"/>
    </row>
    <row r="40" spans="1:11" hidden="1">
      <c r="A40" s="3"/>
      <c r="B40" s="4" t="s">
        <v>31</v>
      </c>
      <c r="C40" s="4"/>
      <c r="D40" s="4" t="b">
        <v>0</v>
      </c>
      <c r="E40" s="4" t="b">
        <v>1</v>
      </c>
      <c r="F40" s="7" t="s">
        <v>32</v>
      </c>
      <c r="G40" s="7"/>
      <c r="H40" s="7"/>
      <c r="I40" s="7"/>
      <c r="J40" s="41" t="s">
        <v>127</v>
      </c>
      <c r="K40" s="7"/>
    </row>
    <row r="41" spans="1:11">
      <c r="A41" s="5" t="b">
        <v>1</v>
      </c>
      <c r="B41" s="6" t="s">
        <v>33</v>
      </c>
      <c r="C41" s="6"/>
      <c r="D41" s="6" t="b">
        <v>0</v>
      </c>
      <c r="E41" s="6" t="b">
        <v>1</v>
      </c>
      <c r="F41" s="24" t="s">
        <v>1389</v>
      </c>
      <c r="G41" s="44" t="s">
        <v>1589</v>
      </c>
      <c r="H41" s="35" t="s">
        <v>1541</v>
      </c>
      <c r="I41" s="1" t="s">
        <v>1129</v>
      </c>
      <c r="J41" s="41" t="s">
        <v>127</v>
      </c>
      <c r="K41" s="23"/>
    </row>
    <row r="42" spans="1:11" ht="29">
      <c r="A42" s="5" t="b">
        <v>0</v>
      </c>
      <c r="B42" s="6" t="s">
        <v>35</v>
      </c>
      <c r="C42" s="6"/>
      <c r="D42" s="6" t="b">
        <v>0</v>
      </c>
      <c r="E42" s="6" t="b">
        <v>1</v>
      </c>
      <c r="F42" s="24" t="s">
        <v>1542</v>
      </c>
      <c r="G42" s="44" t="s">
        <v>1590</v>
      </c>
      <c r="H42" s="35" t="s">
        <v>1591</v>
      </c>
      <c r="I42" s="1" t="s">
        <v>1129</v>
      </c>
      <c r="J42" s="41" t="s">
        <v>127</v>
      </c>
      <c r="K42" s="23"/>
    </row>
    <row r="43" spans="1:11">
      <c r="A43" s="5" t="b">
        <v>0</v>
      </c>
      <c r="B43" s="6" t="s">
        <v>33</v>
      </c>
      <c r="C43" s="6"/>
      <c r="D43" s="6" t="b">
        <v>0</v>
      </c>
      <c r="E43" s="6" t="b">
        <v>1</v>
      </c>
      <c r="F43" s="24" t="s">
        <v>1545</v>
      </c>
      <c r="G43" s="48" t="s">
        <v>1546</v>
      </c>
      <c r="H43" s="38" t="s">
        <v>1547</v>
      </c>
      <c r="I43" s="1" t="s">
        <v>1129</v>
      </c>
      <c r="J43" s="41" t="s">
        <v>127</v>
      </c>
      <c r="K43" s="23"/>
    </row>
    <row r="44" spans="1:11" ht="101.5">
      <c r="A44" s="5" t="b">
        <v>0</v>
      </c>
      <c r="B44" s="6" t="s">
        <v>35</v>
      </c>
      <c r="C44" s="6"/>
      <c r="D44" s="6" t="b">
        <v>0</v>
      </c>
      <c r="E44" s="6" t="b">
        <v>1</v>
      </c>
      <c r="F44" s="25" t="s">
        <v>1548</v>
      </c>
      <c r="G44" s="44" t="s">
        <v>1549</v>
      </c>
      <c r="H44" s="35" t="s">
        <v>1550</v>
      </c>
      <c r="I44" s="1" t="s">
        <v>1129</v>
      </c>
      <c r="J44" s="41" t="s">
        <v>127</v>
      </c>
      <c r="K44" s="23"/>
    </row>
    <row r="45" spans="1:11">
      <c r="A45" s="5" t="b">
        <v>0</v>
      </c>
      <c r="B45" s="6" t="s">
        <v>35</v>
      </c>
      <c r="C45" s="6"/>
      <c r="D45" s="6" t="b">
        <v>0</v>
      </c>
      <c r="E45" s="6" t="b">
        <v>1</v>
      </c>
      <c r="F45" s="22" t="s">
        <v>1551</v>
      </c>
      <c r="G45" s="44" t="s">
        <v>1552</v>
      </c>
      <c r="H45" s="35" t="s">
        <v>1553</v>
      </c>
      <c r="I45" s="1" t="s">
        <v>1129</v>
      </c>
      <c r="J45" s="41" t="s">
        <v>127</v>
      </c>
      <c r="K45" s="23"/>
    </row>
    <row r="46" spans="1:11">
      <c r="A46" s="5" t="b">
        <v>0</v>
      </c>
      <c r="B46" s="6" t="s">
        <v>35</v>
      </c>
      <c r="C46" s="6"/>
      <c r="D46" s="6" t="b">
        <v>0</v>
      </c>
      <c r="E46" s="6" t="b">
        <v>1</v>
      </c>
      <c r="F46" s="22" t="s">
        <v>1554</v>
      </c>
      <c r="G46" s="44" t="s">
        <v>1555</v>
      </c>
      <c r="H46" s="35" t="s">
        <v>1556</v>
      </c>
      <c r="I46" s="1" t="s">
        <v>1129</v>
      </c>
      <c r="J46" s="41" t="s">
        <v>127</v>
      </c>
      <c r="K46" s="23"/>
    </row>
    <row r="47" spans="1:11">
      <c r="A47" s="5" t="b">
        <v>0</v>
      </c>
      <c r="B47" s="6" t="s">
        <v>33</v>
      </c>
      <c r="C47" s="6"/>
      <c r="D47" s="6" t="b">
        <v>0</v>
      </c>
      <c r="E47" s="6" t="b">
        <v>1</v>
      </c>
      <c r="F47" s="24" t="s">
        <v>1557</v>
      </c>
      <c r="G47" s="48"/>
      <c r="H47" s="38"/>
      <c r="I47" s="1" t="s">
        <v>1129</v>
      </c>
      <c r="J47" s="41" t="s">
        <v>20</v>
      </c>
      <c r="K47" s="23"/>
    </row>
    <row r="48" spans="1:11" ht="72.5">
      <c r="A48" s="5" t="b">
        <v>0</v>
      </c>
      <c r="B48" s="6" t="s">
        <v>35</v>
      </c>
      <c r="C48" s="6"/>
      <c r="D48" s="6" t="b">
        <v>0</v>
      </c>
      <c r="E48" s="6" t="b">
        <v>1</v>
      </c>
      <c r="F48" s="22" t="s">
        <v>1558</v>
      </c>
      <c r="G48" s="44" t="s">
        <v>1559</v>
      </c>
      <c r="H48" s="35" t="s">
        <v>1139</v>
      </c>
      <c r="I48" s="1" t="s">
        <v>1129</v>
      </c>
      <c r="J48" s="41" t="s">
        <v>127</v>
      </c>
      <c r="K48" s="23"/>
    </row>
    <row r="49" spans="1:11">
      <c r="A49" s="5" t="b">
        <v>0</v>
      </c>
      <c r="B49" s="6" t="s">
        <v>35</v>
      </c>
      <c r="C49" s="6"/>
      <c r="D49" s="6" t="b">
        <v>0</v>
      </c>
      <c r="E49" s="6" t="b">
        <v>1</v>
      </c>
      <c r="F49" s="22" t="s">
        <v>1560</v>
      </c>
      <c r="G49" s="44" t="s">
        <v>1561</v>
      </c>
      <c r="H49" s="35" t="s">
        <v>1562</v>
      </c>
      <c r="I49" s="1" t="s">
        <v>1129</v>
      </c>
      <c r="J49" s="41" t="s">
        <v>127</v>
      </c>
      <c r="K49" s="23"/>
    </row>
    <row r="50" spans="1:11">
      <c r="A50" s="5" t="b">
        <v>0</v>
      </c>
      <c r="B50" s="6" t="s">
        <v>35</v>
      </c>
      <c r="C50" s="6"/>
      <c r="D50" s="6" t="b">
        <v>0</v>
      </c>
      <c r="E50" s="6" t="b">
        <v>1</v>
      </c>
      <c r="F50" s="22" t="s">
        <v>1563</v>
      </c>
      <c r="G50" s="44" t="s">
        <v>1564</v>
      </c>
      <c r="H50" s="35" t="s">
        <v>1565</v>
      </c>
      <c r="I50" s="1" t="s">
        <v>1129</v>
      </c>
      <c r="J50" s="41" t="s">
        <v>127</v>
      </c>
      <c r="K50" s="23"/>
    </row>
    <row r="51" spans="1:11" ht="29">
      <c r="A51" s="5" t="b">
        <v>0</v>
      </c>
      <c r="B51" s="6" t="s">
        <v>35</v>
      </c>
      <c r="C51" s="6"/>
      <c r="D51" s="6" t="b">
        <v>0</v>
      </c>
      <c r="E51" s="6" t="b">
        <v>1</v>
      </c>
      <c r="F51" s="22" t="s">
        <v>1566</v>
      </c>
      <c r="G51" s="44" t="s">
        <v>1567</v>
      </c>
      <c r="H51" s="35" t="s">
        <v>1568</v>
      </c>
      <c r="I51" s="1" t="s">
        <v>1129</v>
      </c>
      <c r="J51" s="41" t="s">
        <v>127</v>
      </c>
      <c r="K51" s="23"/>
    </row>
    <row r="52" spans="1:11">
      <c r="A52" s="5" t="b">
        <v>0</v>
      </c>
      <c r="B52" s="6" t="s">
        <v>33</v>
      </c>
      <c r="C52" s="6"/>
      <c r="D52" s="6" t="b">
        <v>0</v>
      </c>
      <c r="E52" s="6" t="b">
        <v>1</v>
      </c>
      <c r="F52" s="24" t="s">
        <v>1569</v>
      </c>
      <c r="G52" s="48"/>
      <c r="H52" s="38"/>
      <c r="I52" s="1" t="s">
        <v>1129</v>
      </c>
      <c r="J52" s="41" t="s">
        <v>20</v>
      </c>
      <c r="K52" s="23"/>
    </row>
    <row r="53" spans="1:11">
      <c r="A53" s="5" t="b">
        <v>0</v>
      </c>
      <c r="B53" s="6" t="s">
        <v>35</v>
      </c>
      <c r="C53" s="6"/>
      <c r="D53" s="6" t="b">
        <v>0</v>
      </c>
      <c r="E53" s="6" t="b">
        <v>1</v>
      </c>
      <c r="F53" s="24" t="s">
        <v>1569</v>
      </c>
      <c r="G53" s="40" t="s">
        <v>1570</v>
      </c>
      <c r="H53" s="31" t="s">
        <v>1571</v>
      </c>
      <c r="I53" s="1" t="s">
        <v>1129</v>
      </c>
      <c r="J53" s="41" t="s">
        <v>127</v>
      </c>
      <c r="K53" s="23"/>
    </row>
    <row r="54" spans="1:11">
      <c r="A54" s="5" t="b">
        <v>0</v>
      </c>
      <c r="B54" s="6" t="s">
        <v>33</v>
      </c>
      <c r="C54" s="6"/>
      <c r="D54" s="6" t="b">
        <v>0</v>
      </c>
      <c r="E54" s="6" t="b">
        <v>1</v>
      </c>
      <c r="F54" s="24" t="s">
        <v>1572</v>
      </c>
      <c r="G54" s="48"/>
      <c r="H54" s="38"/>
      <c r="I54" s="1" t="s">
        <v>1129</v>
      </c>
      <c r="J54" s="41" t="s">
        <v>20</v>
      </c>
      <c r="K54" s="23"/>
    </row>
    <row r="55" spans="1:11">
      <c r="A55" s="5" t="b">
        <v>0</v>
      </c>
      <c r="B55" s="6" t="s">
        <v>35</v>
      </c>
      <c r="C55" s="6"/>
      <c r="D55" s="6" t="b">
        <v>0</v>
      </c>
      <c r="E55" s="6" t="b">
        <v>1</v>
      </c>
      <c r="F55" s="25" t="s">
        <v>1573</v>
      </c>
      <c r="G55" s="44" t="s">
        <v>1574</v>
      </c>
      <c r="H55" s="35" t="s">
        <v>1574</v>
      </c>
      <c r="I55" s="1" t="s">
        <v>1129</v>
      </c>
      <c r="J55" s="41" t="s">
        <v>127</v>
      </c>
      <c r="K55" s="23"/>
    </row>
    <row r="56" spans="1:11" ht="29">
      <c r="A56" s="5" t="b">
        <v>0</v>
      </c>
      <c r="B56" s="6" t="s">
        <v>35</v>
      </c>
      <c r="C56" s="6"/>
      <c r="D56" s="6" t="b">
        <v>0</v>
      </c>
      <c r="E56" s="6" t="b">
        <v>1</v>
      </c>
      <c r="F56" s="24" t="s">
        <v>1575</v>
      </c>
      <c r="G56" s="254" t="s">
        <v>1576</v>
      </c>
      <c r="H56" s="38" t="s">
        <v>1576</v>
      </c>
      <c r="I56" s="1" t="s">
        <v>1129</v>
      </c>
      <c r="J56" s="41" t="s">
        <v>127</v>
      </c>
      <c r="K56" s="23"/>
    </row>
    <row r="57" spans="1:11" ht="29">
      <c r="A57" s="5" t="b">
        <v>0</v>
      </c>
      <c r="B57" s="6" t="s">
        <v>35</v>
      </c>
      <c r="C57" s="6"/>
      <c r="D57" s="6" t="b">
        <v>0</v>
      </c>
      <c r="E57" s="6" t="b">
        <v>1</v>
      </c>
      <c r="F57" s="25" t="s">
        <v>1575</v>
      </c>
      <c r="G57" s="44"/>
      <c r="H57" s="35" t="s">
        <v>1576</v>
      </c>
      <c r="I57" s="1" t="s">
        <v>1129</v>
      </c>
      <c r="J57" s="41" t="s">
        <v>20</v>
      </c>
      <c r="K57" s="23"/>
    </row>
    <row r="58" spans="1:11">
      <c r="A58" s="5" t="b">
        <v>0</v>
      </c>
      <c r="B58" s="6" t="s">
        <v>35</v>
      </c>
      <c r="C58" s="6"/>
      <c r="D58" s="6" t="b">
        <v>0</v>
      </c>
      <c r="E58" s="6" t="b">
        <v>1</v>
      </c>
      <c r="F58" s="25" t="s">
        <v>1577</v>
      </c>
      <c r="G58" s="44" t="s">
        <v>1578</v>
      </c>
      <c r="H58" s="35" t="s">
        <v>1579</v>
      </c>
      <c r="I58" s="1" t="s">
        <v>1129</v>
      </c>
      <c r="J58" s="41" t="s">
        <v>127</v>
      </c>
      <c r="K58" s="23"/>
    </row>
    <row r="59" spans="1:11">
      <c r="A59" s="5" t="b">
        <v>0</v>
      </c>
      <c r="B59" s="6" t="s">
        <v>35</v>
      </c>
      <c r="C59" s="6"/>
      <c r="D59" s="6" t="b">
        <v>0</v>
      </c>
      <c r="E59" s="6" t="b">
        <v>1</v>
      </c>
      <c r="F59" s="25" t="s">
        <v>1580</v>
      </c>
      <c r="G59" s="44" t="s">
        <v>1581</v>
      </c>
      <c r="H59" s="35" t="s">
        <v>1581</v>
      </c>
      <c r="I59" s="1" t="s">
        <v>1129</v>
      </c>
      <c r="J59" s="41" t="s">
        <v>127</v>
      </c>
      <c r="K59" s="23"/>
    </row>
    <row r="60" spans="1:11">
      <c r="A60" s="5" t="b">
        <v>0</v>
      </c>
      <c r="B60" s="6" t="s">
        <v>35</v>
      </c>
      <c r="C60" s="6"/>
      <c r="D60" s="6" t="b">
        <v>0</v>
      </c>
      <c r="E60" s="6" t="b">
        <v>1</v>
      </c>
      <c r="F60" s="25" t="s">
        <v>1582</v>
      </c>
      <c r="G60" s="43" t="s">
        <v>1583</v>
      </c>
      <c r="H60" s="39" t="s">
        <v>1583</v>
      </c>
      <c r="I60" s="1" t="s">
        <v>1129</v>
      </c>
      <c r="J60" s="41" t="s">
        <v>127</v>
      </c>
      <c r="K60" s="23"/>
    </row>
    <row r="61" spans="1:11" ht="130.5">
      <c r="A61" s="5" t="b">
        <v>0</v>
      </c>
      <c r="B61" s="6" t="s">
        <v>38</v>
      </c>
      <c r="C61" s="6"/>
      <c r="D61" s="6" t="b">
        <v>0</v>
      </c>
      <c r="E61" s="6" t="b">
        <v>1</v>
      </c>
      <c r="F61" s="24" t="s">
        <v>1584</v>
      </c>
      <c r="G61" s="48" t="s">
        <v>1585</v>
      </c>
      <c r="H61" s="38" t="s">
        <v>1586</v>
      </c>
      <c r="I61" s="26" t="s">
        <v>1129</v>
      </c>
      <c r="J61" s="41" t="s">
        <v>127</v>
      </c>
      <c r="K61" s="23"/>
    </row>
    <row r="62" spans="1:11" ht="29">
      <c r="A62" s="8" t="s">
        <v>4</v>
      </c>
      <c r="B62" s="8" t="s">
        <v>5</v>
      </c>
      <c r="C62" s="8" t="s">
        <v>6</v>
      </c>
      <c r="D62" s="8" t="s">
        <v>113</v>
      </c>
      <c r="E62" s="8" t="s">
        <v>114</v>
      </c>
      <c r="F62" s="8" t="s">
        <v>9</v>
      </c>
      <c r="G62" s="8" t="s">
        <v>10</v>
      </c>
      <c r="H62" s="8" t="s">
        <v>11</v>
      </c>
      <c r="I62" s="8" t="s">
        <v>12</v>
      </c>
      <c r="J62" s="29" t="s">
        <v>13</v>
      </c>
      <c r="K62" s="29" t="s">
        <v>14</v>
      </c>
    </row>
    <row r="63" spans="1:11">
      <c r="A63" s="9"/>
      <c r="B63" s="10" t="s">
        <v>15</v>
      </c>
      <c r="C63" s="10"/>
      <c r="D63" s="10" t="b">
        <v>0</v>
      </c>
      <c r="E63" s="10" t="b">
        <v>1</v>
      </c>
      <c r="F63" s="11" t="s">
        <v>813</v>
      </c>
      <c r="G63" s="11"/>
      <c r="H63" s="11"/>
      <c r="I63" s="11"/>
      <c r="J63" s="11"/>
      <c r="K63" s="11"/>
    </row>
    <row r="64" spans="1:11">
      <c r="A64" s="20"/>
      <c r="B64" s="21" t="s">
        <v>17</v>
      </c>
      <c r="C64" s="21"/>
      <c r="D64" s="21" t="b">
        <v>0</v>
      </c>
      <c r="E64" s="21" t="b">
        <v>1</v>
      </c>
      <c r="F64" s="14" t="s">
        <v>18</v>
      </c>
      <c r="G64" s="14" t="s">
        <v>1592</v>
      </c>
      <c r="H64" s="14" t="s">
        <v>1593</v>
      </c>
      <c r="I64" s="14"/>
      <c r="J64" s="41" t="s">
        <v>127</v>
      </c>
      <c r="K64" s="23"/>
    </row>
    <row r="65" spans="1:11" hidden="1">
      <c r="A65" s="5" t="b">
        <v>1</v>
      </c>
      <c r="B65" s="6" t="s">
        <v>21</v>
      </c>
      <c r="C65" s="6"/>
      <c r="D65" s="6" t="b">
        <v>0</v>
      </c>
      <c r="E65" s="6" t="b">
        <v>1</v>
      </c>
      <c r="F65" s="1" t="s">
        <v>22</v>
      </c>
      <c r="G65" s="1" t="s">
        <v>60</v>
      </c>
      <c r="H65" s="23"/>
      <c r="I65" s="22"/>
      <c r="J65" s="41" t="s">
        <v>127</v>
      </c>
      <c r="K65" s="23"/>
    </row>
    <row r="66" spans="1:11" hidden="1">
      <c r="A66" s="5" t="b">
        <v>0</v>
      </c>
      <c r="B66" s="6" t="s">
        <v>24</v>
      </c>
      <c r="C66" s="6"/>
      <c r="D66" s="6" t="b">
        <v>0</v>
      </c>
      <c r="E66" s="6" t="b">
        <v>1</v>
      </c>
      <c r="F66" s="1" t="s">
        <v>25</v>
      </c>
      <c r="G66" s="1">
        <v>2</v>
      </c>
      <c r="H66" s="23"/>
      <c r="I66" s="22"/>
      <c r="J66" s="41" t="s">
        <v>127</v>
      </c>
      <c r="K66" s="23"/>
    </row>
    <row r="67" spans="1:11" hidden="1">
      <c r="A67" s="5" t="b">
        <v>0</v>
      </c>
      <c r="B67" s="6" t="s">
        <v>26</v>
      </c>
      <c r="C67" s="6"/>
      <c r="D67" s="6" t="b">
        <v>0</v>
      </c>
      <c r="E67" s="6" t="b">
        <v>1</v>
      </c>
      <c r="F67" s="1" t="s">
        <v>27</v>
      </c>
      <c r="G67" s="1"/>
      <c r="H67" s="23"/>
      <c r="I67" s="22"/>
      <c r="J67" s="41" t="s">
        <v>127</v>
      </c>
      <c r="K67" s="23"/>
    </row>
    <row r="68" spans="1:11" hidden="1">
      <c r="A68" s="5" t="b">
        <v>1</v>
      </c>
      <c r="B68" s="6" t="s">
        <v>28</v>
      </c>
      <c r="C68" s="6"/>
      <c r="D68" s="6" t="b">
        <v>0</v>
      </c>
      <c r="E68" s="6" t="b">
        <v>1</v>
      </c>
      <c r="F68" s="1" t="s">
        <v>29</v>
      </c>
      <c r="G68" s="1" t="s">
        <v>30</v>
      </c>
      <c r="H68" s="23"/>
      <c r="I68" s="22"/>
      <c r="J68" s="41" t="s">
        <v>127</v>
      </c>
      <c r="K68" s="23"/>
    </row>
    <row r="69" spans="1:11" hidden="1">
      <c r="A69" s="3"/>
      <c r="B69" s="4" t="s">
        <v>31</v>
      </c>
      <c r="C69" s="4"/>
      <c r="D69" s="4" t="b">
        <v>0</v>
      </c>
      <c r="E69" s="4" t="b">
        <v>1</v>
      </c>
      <c r="F69" s="7" t="s">
        <v>32</v>
      </c>
      <c r="G69" s="7"/>
      <c r="H69" s="7"/>
      <c r="I69" s="7"/>
      <c r="J69" s="41" t="s">
        <v>127</v>
      </c>
      <c r="K69" s="7"/>
    </row>
    <row r="70" spans="1:11">
      <c r="A70" s="5" t="b">
        <v>1</v>
      </c>
      <c r="B70" s="6" t="s">
        <v>33</v>
      </c>
      <c r="C70" s="6"/>
      <c r="D70" s="6" t="b">
        <v>0</v>
      </c>
      <c r="E70" s="6" t="b">
        <v>1</v>
      </c>
      <c r="F70" s="24" t="s">
        <v>1389</v>
      </c>
      <c r="G70" s="44" t="s">
        <v>1594</v>
      </c>
      <c r="H70" s="35" t="s">
        <v>1541</v>
      </c>
      <c r="I70" s="1" t="s">
        <v>1129</v>
      </c>
      <c r="J70" s="41" t="s">
        <v>127</v>
      </c>
      <c r="K70" s="23"/>
    </row>
    <row r="71" spans="1:11" ht="29">
      <c r="A71" s="5" t="b">
        <v>0</v>
      </c>
      <c r="B71" s="6" t="s">
        <v>35</v>
      </c>
      <c r="C71" s="6"/>
      <c r="D71" s="6" t="b">
        <v>0</v>
      </c>
      <c r="E71" s="6" t="b">
        <v>1</v>
      </c>
      <c r="F71" s="24" t="s">
        <v>1542</v>
      </c>
      <c r="G71" s="44" t="s">
        <v>1595</v>
      </c>
      <c r="H71" s="35" t="s">
        <v>1591</v>
      </c>
      <c r="I71" s="1" t="s">
        <v>1129</v>
      </c>
      <c r="J71" s="41" t="s">
        <v>127</v>
      </c>
      <c r="K71" s="23"/>
    </row>
    <row r="72" spans="1:11">
      <c r="A72" s="5" t="b">
        <v>0</v>
      </c>
      <c r="B72" s="6" t="s">
        <v>33</v>
      </c>
      <c r="C72" s="6"/>
      <c r="D72" s="6" t="b">
        <v>0</v>
      </c>
      <c r="E72" s="6" t="b">
        <v>1</v>
      </c>
      <c r="F72" s="24" t="s">
        <v>1545</v>
      </c>
      <c r="G72" s="44" t="s">
        <v>1546</v>
      </c>
      <c r="H72" s="38" t="s">
        <v>1547</v>
      </c>
      <c r="I72" s="1" t="s">
        <v>1129</v>
      </c>
      <c r="J72" s="41" t="s">
        <v>127</v>
      </c>
      <c r="K72" s="23"/>
    </row>
    <row r="73" spans="1:11" ht="116">
      <c r="A73" s="5" t="b">
        <v>0</v>
      </c>
      <c r="B73" s="6" t="s">
        <v>35</v>
      </c>
      <c r="C73" s="6"/>
      <c r="D73" s="6" t="b">
        <v>0</v>
      </c>
      <c r="E73" s="6" t="b">
        <v>1</v>
      </c>
      <c r="F73" s="25" t="s">
        <v>1548</v>
      </c>
      <c r="G73" s="44" t="s">
        <v>1596</v>
      </c>
      <c r="H73" s="35" t="s">
        <v>1550</v>
      </c>
      <c r="I73" s="1" t="s">
        <v>1129</v>
      </c>
      <c r="J73" s="41" t="s">
        <v>127</v>
      </c>
      <c r="K73" s="23"/>
    </row>
    <row r="74" spans="1:11">
      <c r="A74" s="5" t="b">
        <v>0</v>
      </c>
      <c r="B74" s="6" t="s">
        <v>35</v>
      </c>
      <c r="C74" s="6"/>
      <c r="D74" s="6" t="b">
        <v>0</v>
      </c>
      <c r="E74" s="6" t="b">
        <v>1</v>
      </c>
      <c r="F74" s="22" t="s">
        <v>1551</v>
      </c>
      <c r="G74" s="44" t="s">
        <v>1552</v>
      </c>
      <c r="H74" s="35" t="s">
        <v>1553</v>
      </c>
      <c r="I74" s="1" t="s">
        <v>1129</v>
      </c>
      <c r="J74" s="41" t="s">
        <v>127</v>
      </c>
      <c r="K74" s="23"/>
    </row>
    <row r="75" spans="1:11">
      <c r="A75" s="5" t="b">
        <v>0</v>
      </c>
      <c r="B75" s="6" t="s">
        <v>35</v>
      </c>
      <c r="C75" s="6"/>
      <c r="D75" s="6" t="b">
        <v>0</v>
      </c>
      <c r="E75" s="6" t="b">
        <v>1</v>
      </c>
      <c r="F75" s="22" t="s">
        <v>1554</v>
      </c>
      <c r="G75" s="44" t="s">
        <v>1555</v>
      </c>
      <c r="H75" s="35" t="s">
        <v>1556</v>
      </c>
      <c r="I75" s="1" t="s">
        <v>1129</v>
      </c>
      <c r="J75" s="41" t="s">
        <v>127</v>
      </c>
      <c r="K75" s="23"/>
    </row>
    <row r="76" spans="1:11">
      <c r="A76" s="5" t="b">
        <v>0</v>
      </c>
      <c r="B76" s="6" t="s">
        <v>33</v>
      </c>
      <c r="C76" s="6"/>
      <c r="D76" s="6" t="b">
        <v>0</v>
      </c>
      <c r="E76" s="6" t="b">
        <v>1</v>
      </c>
      <c r="F76" s="24" t="s">
        <v>1557</v>
      </c>
      <c r="G76" s="44"/>
      <c r="H76" s="38"/>
      <c r="I76" s="1" t="s">
        <v>1129</v>
      </c>
      <c r="J76" s="41" t="s">
        <v>20</v>
      </c>
      <c r="K76" s="23"/>
    </row>
    <row r="77" spans="1:11" ht="87">
      <c r="A77" s="5" t="b">
        <v>0</v>
      </c>
      <c r="B77" s="6" t="s">
        <v>35</v>
      </c>
      <c r="C77" s="6"/>
      <c r="D77" s="6" t="b">
        <v>0</v>
      </c>
      <c r="E77" s="6" t="b">
        <v>1</v>
      </c>
      <c r="F77" s="22" t="s">
        <v>1558</v>
      </c>
      <c r="G77" s="44" t="s">
        <v>1597</v>
      </c>
      <c r="H77" s="35" t="s">
        <v>1139</v>
      </c>
      <c r="I77" s="1" t="s">
        <v>1129</v>
      </c>
      <c r="J77" s="41" t="s">
        <v>127</v>
      </c>
      <c r="K77" s="23"/>
    </row>
    <row r="78" spans="1:11">
      <c r="A78" s="5" t="b">
        <v>0</v>
      </c>
      <c r="B78" s="6" t="s">
        <v>35</v>
      </c>
      <c r="C78" s="6"/>
      <c r="D78" s="6" t="b">
        <v>0</v>
      </c>
      <c r="E78" s="6" t="b">
        <v>1</v>
      </c>
      <c r="F78" s="22" t="s">
        <v>1560</v>
      </c>
      <c r="G78" s="44" t="s">
        <v>1598</v>
      </c>
      <c r="H78" s="35" t="s">
        <v>1562</v>
      </c>
      <c r="I78" s="1" t="s">
        <v>1129</v>
      </c>
      <c r="J78" s="41" t="s">
        <v>127</v>
      </c>
      <c r="K78" s="23"/>
    </row>
    <row r="79" spans="1:11">
      <c r="A79" s="5" t="b">
        <v>0</v>
      </c>
      <c r="B79" s="6" t="s">
        <v>35</v>
      </c>
      <c r="C79" s="6"/>
      <c r="D79" s="6" t="b">
        <v>0</v>
      </c>
      <c r="E79" s="6" t="b">
        <v>1</v>
      </c>
      <c r="F79" s="22" t="s">
        <v>1563</v>
      </c>
      <c r="G79" s="44" t="s">
        <v>1599</v>
      </c>
      <c r="H79" s="35" t="s">
        <v>1565</v>
      </c>
      <c r="I79" s="1" t="s">
        <v>1129</v>
      </c>
      <c r="J79" s="41" t="s">
        <v>127</v>
      </c>
      <c r="K79" s="23"/>
    </row>
    <row r="80" spans="1:11" ht="29">
      <c r="A80" s="5" t="b">
        <v>0</v>
      </c>
      <c r="B80" s="6" t="s">
        <v>35</v>
      </c>
      <c r="C80" s="6"/>
      <c r="D80" s="6" t="b">
        <v>0</v>
      </c>
      <c r="E80" s="6" t="b">
        <v>1</v>
      </c>
      <c r="F80" s="22" t="s">
        <v>1566</v>
      </c>
      <c r="G80" s="44" t="s">
        <v>1600</v>
      </c>
      <c r="H80" s="35" t="s">
        <v>1568</v>
      </c>
      <c r="I80" s="1" t="s">
        <v>1129</v>
      </c>
      <c r="J80" s="41" t="s">
        <v>127</v>
      </c>
      <c r="K80" s="23"/>
    </row>
    <row r="81" spans="1:11">
      <c r="A81" s="5" t="b">
        <v>0</v>
      </c>
      <c r="B81" s="6" t="s">
        <v>33</v>
      </c>
      <c r="C81" s="6"/>
      <c r="D81" s="6" t="b">
        <v>0</v>
      </c>
      <c r="E81" s="6" t="b">
        <v>1</v>
      </c>
      <c r="F81" s="24" t="s">
        <v>1569</v>
      </c>
      <c r="G81" s="44"/>
      <c r="H81" s="38"/>
      <c r="I81" s="1" t="s">
        <v>1129</v>
      </c>
      <c r="J81" s="41" t="s">
        <v>20</v>
      </c>
      <c r="K81" s="23"/>
    </row>
    <row r="82" spans="1:11">
      <c r="A82" s="5" t="b">
        <v>0</v>
      </c>
      <c r="B82" s="6" t="s">
        <v>35</v>
      </c>
      <c r="C82" s="6"/>
      <c r="D82" s="6" t="b">
        <v>0</v>
      </c>
      <c r="E82" s="6" t="b">
        <v>1</v>
      </c>
      <c r="F82" s="24" t="s">
        <v>1569</v>
      </c>
      <c r="G82" s="44" t="s">
        <v>1570</v>
      </c>
      <c r="H82" s="31" t="s">
        <v>1571</v>
      </c>
      <c r="I82" s="1" t="s">
        <v>1129</v>
      </c>
      <c r="J82" s="41" t="s">
        <v>127</v>
      </c>
      <c r="K82" s="23"/>
    </row>
    <row r="83" spans="1:11">
      <c r="A83" s="5" t="b">
        <v>0</v>
      </c>
      <c r="B83" s="6" t="s">
        <v>33</v>
      </c>
      <c r="C83" s="6"/>
      <c r="D83" s="6" t="b">
        <v>0</v>
      </c>
      <c r="E83" s="6" t="b">
        <v>1</v>
      </c>
      <c r="F83" s="24" t="s">
        <v>1572</v>
      </c>
      <c r="G83" s="44"/>
      <c r="H83" s="38"/>
      <c r="I83" s="1" t="s">
        <v>1129</v>
      </c>
      <c r="J83" s="41" t="s">
        <v>20</v>
      </c>
      <c r="K83" s="23"/>
    </row>
    <row r="84" spans="1:11" ht="16.5">
      <c r="A84" s="5" t="b">
        <v>0</v>
      </c>
      <c r="B84" s="6" t="s">
        <v>35</v>
      </c>
      <c r="C84" s="6"/>
      <c r="D84" s="6" t="b">
        <v>0</v>
      </c>
      <c r="E84" s="6" t="b">
        <v>1</v>
      </c>
      <c r="F84" s="25" t="s">
        <v>1573</v>
      </c>
      <c r="G84" s="255" t="s">
        <v>1601</v>
      </c>
      <c r="H84" s="35" t="s">
        <v>1574</v>
      </c>
      <c r="I84" s="1" t="s">
        <v>1129</v>
      </c>
      <c r="J84" s="41" t="s">
        <v>127</v>
      </c>
      <c r="K84" s="23"/>
    </row>
    <row r="85" spans="1:11" ht="29">
      <c r="A85" s="5" t="b">
        <v>0</v>
      </c>
      <c r="B85" s="6" t="s">
        <v>35</v>
      </c>
      <c r="C85" s="6"/>
      <c r="D85" s="6" t="b">
        <v>0</v>
      </c>
      <c r="E85" s="6" t="b">
        <v>1</v>
      </c>
      <c r="F85" s="24" t="s">
        <v>1575</v>
      </c>
      <c r="G85" s="255" t="s">
        <v>1602</v>
      </c>
      <c r="H85" s="38" t="s">
        <v>1576</v>
      </c>
      <c r="I85" s="1" t="s">
        <v>1129</v>
      </c>
      <c r="J85" s="41" t="s">
        <v>127</v>
      </c>
      <c r="K85" s="23"/>
    </row>
    <row r="86" spans="1:11" ht="29">
      <c r="A86" s="5" t="b">
        <v>0</v>
      </c>
      <c r="B86" s="6" t="s">
        <v>35</v>
      </c>
      <c r="C86" s="6"/>
      <c r="D86" s="6" t="b">
        <v>0</v>
      </c>
      <c r="E86" s="6" t="b">
        <v>1</v>
      </c>
      <c r="F86" s="25" t="s">
        <v>1575</v>
      </c>
      <c r="G86" s="44"/>
      <c r="H86" s="35" t="s">
        <v>1576</v>
      </c>
      <c r="I86" s="1" t="s">
        <v>1129</v>
      </c>
      <c r="J86" s="41" t="s">
        <v>20</v>
      </c>
      <c r="K86" s="23"/>
    </row>
    <row r="87" spans="1:11">
      <c r="A87" s="5" t="b">
        <v>0</v>
      </c>
      <c r="B87" s="6" t="s">
        <v>35</v>
      </c>
      <c r="C87" s="6"/>
      <c r="D87" s="6" t="b">
        <v>0</v>
      </c>
      <c r="E87" s="6" t="b">
        <v>1</v>
      </c>
      <c r="F87" s="25" t="s">
        <v>1577</v>
      </c>
      <c r="G87" s="44" t="s">
        <v>1578</v>
      </c>
      <c r="H87" s="35" t="s">
        <v>1579</v>
      </c>
      <c r="I87" s="1" t="s">
        <v>1129</v>
      </c>
      <c r="J87" s="41" t="s">
        <v>127</v>
      </c>
      <c r="K87" s="23"/>
    </row>
    <row r="88" spans="1:11">
      <c r="A88" s="5" t="b">
        <v>0</v>
      </c>
      <c r="B88" s="6" t="s">
        <v>35</v>
      </c>
      <c r="C88" s="6"/>
      <c r="D88" s="6" t="b">
        <v>0</v>
      </c>
      <c r="E88" s="6" t="b">
        <v>1</v>
      </c>
      <c r="F88" s="25" t="s">
        <v>1580</v>
      </c>
      <c r="G88" s="44" t="s">
        <v>1581</v>
      </c>
      <c r="H88" s="35" t="s">
        <v>1581</v>
      </c>
      <c r="I88" s="1" t="s">
        <v>1129</v>
      </c>
      <c r="J88" s="41" t="s">
        <v>127</v>
      </c>
      <c r="K88" s="23"/>
    </row>
    <row r="89" spans="1:11">
      <c r="A89" s="5" t="b">
        <v>0</v>
      </c>
      <c r="B89" s="6" t="s">
        <v>35</v>
      </c>
      <c r="C89" s="6"/>
      <c r="D89" s="6" t="b">
        <v>0</v>
      </c>
      <c r="E89" s="6" t="b">
        <v>1</v>
      </c>
      <c r="F89" s="25" t="s">
        <v>1582</v>
      </c>
      <c r="G89" s="43" t="s">
        <v>1583</v>
      </c>
      <c r="H89" s="39" t="s">
        <v>1583</v>
      </c>
      <c r="I89" s="1" t="s">
        <v>1129</v>
      </c>
      <c r="J89" s="41" t="s">
        <v>127</v>
      </c>
      <c r="K89" s="23"/>
    </row>
    <row r="90" spans="1:11" ht="130.5">
      <c r="A90" s="5" t="b">
        <v>0</v>
      </c>
      <c r="B90" s="6" t="s">
        <v>38</v>
      </c>
      <c r="C90" s="6"/>
      <c r="D90" s="6" t="b">
        <v>0</v>
      </c>
      <c r="E90" s="6" t="b">
        <v>1</v>
      </c>
      <c r="F90" s="24" t="s">
        <v>1584</v>
      </c>
      <c r="G90" s="48" t="s">
        <v>1603</v>
      </c>
      <c r="H90" s="38" t="s">
        <v>1586</v>
      </c>
      <c r="I90" s="26" t="s">
        <v>1129</v>
      </c>
      <c r="J90" s="41" t="s">
        <v>127</v>
      </c>
      <c r="K90" s="23"/>
    </row>
    <row r="91" spans="1:11" ht="29">
      <c r="A91" s="8" t="s">
        <v>4</v>
      </c>
      <c r="B91" s="8" t="s">
        <v>5</v>
      </c>
      <c r="C91" s="8" t="s">
        <v>6</v>
      </c>
      <c r="D91" s="8" t="s">
        <v>113</v>
      </c>
      <c r="E91" s="8" t="s">
        <v>114</v>
      </c>
      <c r="F91" s="8" t="s">
        <v>9</v>
      </c>
      <c r="G91" s="8" t="s">
        <v>10</v>
      </c>
      <c r="H91" s="8" t="s">
        <v>11</v>
      </c>
      <c r="I91" s="8" t="s">
        <v>12</v>
      </c>
      <c r="J91" s="29" t="s">
        <v>13</v>
      </c>
      <c r="K91" s="29" t="s">
        <v>14</v>
      </c>
    </row>
    <row r="92" spans="1:11">
      <c r="A92" s="9"/>
      <c r="B92" s="10" t="s">
        <v>15</v>
      </c>
      <c r="C92" s="10"/>
      <c r="D92" s="10" t="b">
        <v>0</v>
      </c>
      <c r="E92" s="10" t="b">
        <v>1</v>
      </c>
      <c r="F92" s="11" t="s">
        <v>813</v>
      </c>
      <c r="G92" s="11"/>
      <c r="H92" s="11"/>
      <c r="I92" s="11"/>
      <c r="J92" s="11"/>
      <c r="K92" s="11"/>
    </row>
    <row r="93" spans="1:11">
      <c r="A93" s="20"/>
      <c r="B93" s="21" t="s">
        <v>17</v>
      </c>
      <c r="C93" s="21"/>
      <c r="D93" s="21" t="b">
        <v>0</v>
      </c>
      <c r="E93" s="21" t="b">
        <v>1</v>
      </c>
      <c r="F93" s="14" t="s">
        <v>18</v>
      </c>
      <c r="G93" s="14" t="s">
        <v>1604</v>
      </c>
      <c r="H93" s="14" t="s">
        <v>1605</v>
      </c>
      <c r="I93" s="14"/>
      <c r="J93" s="41" t="s">
        <v>127</v>
      </c>
      <c r="K93" s="23"/>
    </row>
    <row r="94" spans="1:11" hidden="1">
      <c r="A94" s="5" t="b">
        <v>1</v>
      </c>
      <c r="B94" s="6" t="s">
        <v>21</v>
      </c>
      <c r="C94" s="6"/>
      <c r="D94" s="6" t="b">
        <v>0</v>
      </c>
      <c r="E94" s="6" t="b">
        <v>1</v>
      </c>
      <c r="F94" s="1" t="s">
        <v>22</v>
      </c>
      <c r="G94" s="1" t="s">
        <v>60</v>
      </c>
      <c r="H94" s="23"/>
      <c r="I94" s="22"/>
      <c r="J94" s="41" t="s">
        <v>127</v>
      </c>
      <c r="K94" s="23"/>
    </row>
    <row r="95" spans="1:11" hidden="1">
      <c r="A95" s="5" t="b">
        <v>0</v>
      </c>
      <c r="B95" s="6" t="s">
        <v>24</v>
      </c>
      <c r="C95" s="6"/>
      <c r="D95" s="6" t="b">
        <v>0</v>
      </c>
      <c r="E95" s="6" t="b">
        <v>1</v>
      </c>
      <c r="F95" s="1" t="s">
        <v>25</v>
      </c>
      <c r="G95" s="1">
        <v>2</v>
      </c>
      <c r="H95" s="23"/>
      <c r="I95" s="22"/>
      <c r="J95" s="41" t="s">
        <v>127</v>
      </c>
      <c r="K95" s="23"/>
    </row>
    <row r="96" spans="1:11" hidden="1">
      <c r="A96" s="5" t="b">
        <v>0</v>
      </c>
      <c r="B96" s="6" t="s">
        <v>26</v>
      </c>
      <c r="C96" s="6"/>
      <c r="D96" s="6" t="b">
        <v>0</v>
      </c>
      <c r="E96" s="6" t="b">
        <v>1</v>
      </c>
      <c r="F96" s="1" t="s">
        <v>27</v>
      </c>
      <c r="G96" s="1"/>
      <c r="H96" s="23"/>
      <c r="I96" s="22"/>
      <c r="J96" s="41" t="s">
        <v>127</v>
      </c>
      <c r="K96" s="23"/>
    </row>
    <row r="97" spans="1:11" hidden="1">
      <c r="A97" s="5" t="b">
        <v>1</v>
      </c>
      <c r="B97" s="6" t="s">
        <v>28</v>
      </c>
      <c r="C97" s="6"/>
      <c r="D97" s="6" t="b">
        <v>0</v>
      </c>
      <c r="E97" s="6" t="b">
        <v>1</v>
      </c>
      <c r="F97" s="1" t="s">
        <v>29</v>
      </c>
      <c r="G97" s="1" t="s">
        <v>30</v>
      </c>
      <c r="H97" s="23"/>
      <c r="I97" s="22"/>
      <c r="J97" s="41" t="s">
        <v>127</v>
      </c>
      <c r="K97" s="23"/>
    </row>
    <row r="98" spans="1:11" hidden="1">
      <c r="A98" s="3"/>
      <c r="B98" s="4" t="s">
        <v>31</v>
      </c>
      <c r="C98" s="4"/>
      <c r="D98" s="4" t="b">
        <v>0</v>
      </c>
      <c r="E98" s="4" t="b">
        <v>1</v>
      </c>
      <c r="F98" s="7" t="s">
        <v>32</v>
      </c>
      <c r="G98" s="7"/>
      <c r="H98" s="7"/>
      <c r="I98" s="7"/>
      <c r="J98" s="41" t="s">
        <v>127</v>
      </c>
      <c r="K98" s="7"/>
    </row>
    <row r="99" spans="1:11" ht="29">
      <c r="A99" s="5" t="b">
        <v>1</v>
      </c>
      <c r="B99" s="6" t="s">
        <v>33</v>
      </c>
      <c r="C99" s="6"/>
      <c r="D99" s="6" t="b">
        <v>0</v>
      </c>
      <c r="E99" s="6" t="b">
        <v>1</v>
      </c>
      <c r="F99" s="24" t="s">
        <v>1606</v>
      </c>
      <c r="G99" s="44" t="s">
        <v>1607</v>
      </c>
      <c r="H99" s="35" t="s">
        <v>1608</v>
      </c>
      <c r="I99" s="1" t="s">
        <v>1129</v>
      </c>
      <c r="J99" s="41" t="s">
        <v>127</v>
      </c>
      <c r="K99" s="23"/>
    </row>
    <row r="100" spans="1:11">
      <c r="A100" s="5" t="b">
        <v>0</v>
      </c>
      <c r="B100" s="6" t="s">
        <v>35</v>
      </c>
      <c r="C100" s="6"/>
      <c r="D100" s="6" t="b">
        <v>0</v>
      </c>
      <c r="E100" s="6" t="b">
        <v>1</v>
      </c>
      <c r="F100" s="24" t="s">
        <v>1542</v>
      </c>
      <c r="G100" s="44" t="s">
        <v>1609</v>
      </c>
      <c r="H100" s="35" t="s">
        <v>1610</v>
      </c>
      <c r="I100" s="1" t="s">
        <v>1129</v>
      </c>
      <c r="J100" s="41" t="s">
        <v>127</v>
      </c>
      <c r="K100" s="23"/>
    </row>
    <row r="101" spans="1:11">
      <c r="A101" s="5" t="b">
        <v>0</v>
      </c>
      <c r="B101" s="6" t="s">
        <v>35</v>
      </c>
      <c r="C101" s="6"/>
      <c r="D101" s="6" t="b">
        <v>0</v>
      </c>
      <c r="E101" s="6" t="b">
        <v>1</v>
      </c>
      <c r="F101" s="24" t="s">
        <v>1611</v>
      </c>
      <c r="G101" s="48" t="s">
        <v>1612</v>
      </c>
      <c r="H101" s="38" t="s">
        <v>1613</v>
      </c>
      <c r="I101" s="1" t="s">
        <v>1129</v>
      </c>
      <c r="J101" s="41" t="s">
        <v>127</v>
      </c>
      <c r="K101" s="23"/>
    </row>
    <row r="102" spans="1:11">
      <c r="A102" s="5" t="b">
        <v>0</v>
      </c>
      <c r="B102" s="6" t="s">
        <v>33</v>
      </c>
      <c r="C102" s="6"/>
      <c r="D102" s="6" t="b">
        <v>0</v>
      </c>
      <c r="E102" s="6" t="b">
        <v>1</v>
      </c>
      <c r="F102" s="25" t="s">
        <v>1614</v>
      </c>
      <c r="G102" s="44"/>
      <c r="H102" s="35"/>
      <c r="I102" s="1" t="s">
        <v>1129</v>
      </c>
      <c r="J102" s="41" t="s">
        <v>20</v>
      </c>
      <c r="K102" s="23"/>
    </row>
    <row r="103" spans="1:11">
      <c r="A103" s="5" t="b">
        <v>0</v>
      </c>
      <c r="B103" s="6" t="s">
        <v>35</v>
      </c>
      <c r="C103" s="6"/>
      <c r="D103" s="6" t="b">
        <v>0</v>
      </c>
      <c r="E103" s="6" t="b">
        <v>1</v>
      </c>
      <c r="F103" s="22" t="s">
        <v>1615</v>
      </c>
      <c r="G103" s="44" t="s">
        <v>1616</v>
      </c>
      <c r="H103" s="35" t="s">
        <v>1617</v>
      </c>
      <c r="I103" s="1" t="s">
        <v>1129</v>
      </c>
      <c r="J103" s="41" t="s">
        <v>127</v>
      </c>
      <c r="K103" s="23"/>
    </row>
    <row r="104" spans="1:11">
      <c r="A104" s="5" t="b">
        <v>0</v>
      </c>
      <c r="B104" s="6" t="s">
        <v>35</v>
      </c>
      <c r="C104" s="6"/>
      <c r="D104" s="6" t="b">
        <v>0</v>
      </c>
      <c r="E104" s="6" t="b">
        <v>1</v>
      </c>
      <c r="F104" s="22" t="s">
        <v>1618</v>
      </c>
      <c r="G104" s="44" t="s">
        <v>1619</v>
      </c>
      <c r="H104" s="35" t="s">
        <v>1620</v>
      </c>
      <c r="I104" s="1" t="s">
        <v>1129</v>
      </c>
      <c r="J104" s="41" t="s">
        <v>127</v>
      </c>
      <c r="K104" s="23"/>
    </row>
    <row r="105" spans="1:11">
      <c r="A105" s="5" t="b">
        <v>0</v>
      </c>
      <c r="B105" s="6" t="s">
        <v>33</v>
      </c>
      <c r="C105" s="6"/>
      <c r="D105" s="6" t="b">
        <v>0</v>
      </c>
      <c r="E105" s="6" t="b">
        <v>1</v>
      </c>
      <c r="F105" s="22" t="s">
        <v>1621</v>
      </c>
      <c r="G105" s="48" t="s">
        <v>1622</v>
      </c>
      <c r="H105" s="38" t="s">
        <v>1623</v>
      </c>
      <c r="I105" s="1" t="s">
        <v>1129</v>
      </c>
      <c r="J105" s="41" t="s">
        <v>127</v>
      </c>
      <c r="K105" s="23"/>
    </row>
    <row r="106" spans="1:11">
      <c r="A106" s="5" t="b">
        <v>0</v>
      </c>
      <c r="B106" s="6" t="s">
        <v>35</v>
      </c>
      <c r="C106" s="6"/>
      <c r="D106" s="6" t="b">
        <v>0</v>
      </c>
      <c r="E106" s="6" t="b">
        <v>1</v>
      </c>
      <c r="F106" s="22" t="s">
        <v>1141</v>
      </c>
      <c r="G106" s="44"/>
      <c r="H106" s="35"/>
      <c r="I106" s="1" t="s">
        <v>1129</v>
      </c>
      <c r="J106" s="41" t="s">
        <v>20</v>
      </c>
      <c r="K106" s="23"/>
    </row>
    <row r="107" spans="1:11">
      <c r="A107" s="5" t="b">
        <v>0</v>
      </c>
      <c r="B107" s="6" t="s">
        <v>35</v>
      </c>
      <c r="C107" s="6"/>
      <c r="D107" s="6" t="b">
        <v>0</v>
      </c>
      <c r="E107" s="6" t="b">
        <v>1</v>
      </c>
      <c r="F107" s="22" t="s">
        <v>1624</v>
      </c>
      <c r="G107" s="44" t="s">
        <v>1625</v>
      </c>
      <c r="H107" s="35" t="s">
        <v>1625</v>
      </c>
      <c r="I107" s="1" t="s">
        <v>1129</v>
      </c>
      <c r="J107" s="41" t="s">
        <v>127</v>
      </c>
      <c r="K107" s="23"/>
    </row>
    <row r="108" spans="1:11">
      <c r="A108" s="5" t="b">
        <v>0</v>
      </c>
      <c r="B108" s="6" t="s">
        <v>33</v>
      </c>
      <c r="C108" s="6"/>
      <c r="D108" s="6" t="b">
        <v>0</v>
      </c>
      <c r="E108" s="6" t="b">
        <v>1</v>
      </c>
      <c r="F108" s="24" t="s">
        <v>1626</v>
      </c>
      <c r="G108" s="48" t="s">
        <v>1627</v>
      </c>
      <c r="H108" s="38" t="s">
        <v>1628</v>
      </c>
      <c r="I108" s="1" t="s">
        <v>1129</v>
      </c>
      <c r="J108" s="41" t="s">
        <v>127</v>
      </c>
      <c r="K108" s="23"/>
    </row>
    <row r="109" spans="1:11">
      <c r="A109" s="5" t="b">
        <v>0</v>
      </c>
      <c r="B109" s="6" t="s">
        <v>35</v>
      </c>
      <c r="C109" s="6"/>
      <c r="D109" s="6" t="b">
        <v>0</v>
      </c>
      <c r="E109" s="6" t="b">
        <v>1</v>
      </c>
      <c r="F109" s="24" t="s">
        <v>1629</v>
      </c>
      <c r="G109" s="40" t="s">
        <v>1630</v>
      </c>
      <c r="H109" s="31" t="s">
        <v>1630</v>
      </c>
      <c r="I109" s="1" t="s">
        <v>1129</v>
      </c>
      <c r="J109" s="41" t="s">
        <v>127</v>
      </c>
      <c r="K109" s="23"/>
    </row>
    <row r="110" spans="1:11">
      <c r="A110" s="5" t="b">
        <v>0</v>
      </c>
      <c r="B110" s="6" t="s">
        <v>33</v>
      </c>
      <c r="C110" s="6"/>
      <c r="D110" s="6" t="b">
        <v>0</v>
      </c>
      <c r="E110" s="6" t="b">
        <v>1</v>
      </c>
      <c r="F110" s="24" t="s">
        <v>939</v>
      </c>
      <c r="G110" s="48" t="s">
        <v>1631</v>
      </c>
      <c r="H110" s="38" t="s">
        <v>1632</v>
      </c>
      <c r="I110" s="1" t="s">
        <v>1129</v>
      </c>
      <c r="J110" s="41" t="s">
        <v>127</v>
      </c>
      <c r="K110" s="23"/>
    </row>
    <row r="111" spans="1:11" ht="29">
      <c r="A111" s="5" t="b">
        <v>0</v>
      </c>
      <c r="B111" s="6" t="s">
        <v>35</v>
      </c>
      <c r="C111" s="6"/>
      <c r="D111" s="6" t="b">
        <v>0</v>
      </c>
      <c r="E111" s="6" t="b">
        <v>1</v>
      </c>
      <c r="F111" s="25" t="s">
        <v>1633</v>
      </c>
      <c r="G111" s="44" t="s">
        <v>1221</v>
      </c>
      <c r="H111" s="35" t="s">
        <v>1221</v>
      </c>
      <c r="I111" s="1" t="s">
        <v>1129</v>
      </c>
      <c r="J111" s="41" t="s">
        <v>127</v>
      </c>
      <c r="K111" s="23"/>
    </row>
    <row r="112" spans="1:11">
      <c r="A112" s="3"/>
      <c r="B112" s="4" t="s">
        <v>36</v>
      </c>
      <c r="C112" s="4"/>
      <c r="D112" s="4" t="b">
        <v>0</v>
      </c>
      <c r="E112" s="4" t="b">
        <v>1</v>
      </c>
      <c r="F112" s="7" t="s">
        <v>37</v>
      </c>
      <c r="G112" s="7"/>
      <c r="H112" s="7"/>
      <c r="I112" s="7"/>
      <c r="J112" s="7"/>
      <c r="K112" s="7"/>
    </row>
    <row r="113" spans="1:11" ht="72.5">
      <c r="A113" s="5" t="b">
        <v>0</v>
      </c>
      <c r="B113" s="6" t="s">
        <v>38</v>
      </c>
      <c r="C113" s="6"/>
      <c r="D113" s="6" t="b">
        <v>0</v>
      </c>
      <c r="E113" s="6" t="b">
        <v>1</v>
      </c>
      <c r="F113" s="1"/>
      <c r="G113" s="94"/>
      <c r="H113" s="35" t="s">
        <v>1634</v>
      </c>
      <c r="I113" s="26" t="s">
        <v>1129</v>
      </c>
      <c r="J113" s="41" t="s">
        <v>20</v>
      </c>
      <c r="K113" s="82" t="s">
        <v>161</v>
      </c>
    </row>
    <row r="114" spans="1:11" ht="29">
      <c r="A114" s="8" t="s">
        <v>4</v>
      </c>
      <c r="B114" s="8" t="s">
        <v>5</v>
      </c>
      <c r="C114" s="8" t="s">
        <v>6</v>
      </c>
      <c r="D114" s="8" t="s">
        <v>113</v>
      </c>
      <c r="E114" s="8" t="s">
        <v>114</v>
      </c>
      <c r="F114" s="8" t="s">
        <v>9</v>
      </c>
      <c r="G114" s="8" t="s">
        <v>10</v>
      </c>
      <c r="H114" s="8" t="s">
        <v>11</v>
      </c>
      <c r="I114" s="8" t="s">
        <v>12</v>
      </c>
      <c r="J114" s="29" t="s">
        <v>13</v>
      </c>
      <c r="K114" s="29" t="s">
        <v>14</v>
      </c>
    </row>
    <row r="115" spans="1:11">
      <c r="A115" s="9"/>
      <c r="B115" s="10" t="s">
        <v>15</v>
      </c>
      <c r="C115" s="10"/>
      <c r="D115" s="10" t="b">
        <v>0</v>
      </c>
      <c r="E115" s="10" t="b">
        <v>1</v>
      </c>
      <c r="F115" s="11" t="s">
        <v>813</v>
      </c>
      <c r="G115" s="11"/>
      <c r="H115" s="11"/>
      <c r="I115" s="11"/>
      <c r="J115" s="11"/>
      <c r="K115" s="11"/>
    </row>
    <row r="116" spans="1:11">
      <c r="A116" s="20"/>
      <c r="B116" s="21" t="s">
        <v>17</v>
      </c>
      <c r="C116" s="21"/>
      <c r="D116" s="21" t="b">
        <v>0</v>
      </c>
      <c r="E116" s="21" t="b">
        <v>1</v>
      </c>
      <c r="F116" s="14" t="s">
        <v>18</v>
      </c>
      <c r="G116" s="14" t="s">
        <v>1635</v>
      </c>
      <c r="H116" s="14" t="s">
        <v>1605</v>
      </c>
      <c r="I116" s="14"/>
      <c r="J116" s="41" t="s">
        <v>127</v>
      </c>
      <c r="K116" s="23"/>
    </row>
    <row r="117" spans="1:11" hidden="1">
      <c r="A117" s="5" t="b">
        <v>1</v>
      </c>
      <c r="B117" s="6" t="s">
        <v>21</v>
      </c>
      <c r="C117" s="6"/>
      <c r="D117" s="6" t="b">
        <v>0</v>
      </c>
      <c r="E117" s="6" t="b">
        <v>1</v>
      </c>
      <c r="F117" s="1" t="s">
        <v>22</v>
      </c>
      <c r="G117" s="1" t="s">
        <v>60</v>
      </c>
      <c r="H117" s="23"/>
      <c r="I117" s="22"/>
      <c r="J117" s="41" t="s">
        <v>127</v>
      </c>
      <c r="K117" s="23"/>
    </row>
    <row r="118" spans="1:11" hidden="1">
      <c r="A118" s="5" t="b">
        <v>0</v>
      </c>
      <c r="B118" s="6" t="s">
        <v>24</v>
      </c>
      <c r="C118" s="6"/>
      <c r="D118" s="6" t="b">
        <v>0</v>
      </c>
      <c r="E118" s="6" t="b">
        <v>1</v>
      </c>
      <c r="F118" s="1" t="s">
        <v>25</v>
      </c>
      <c r="G118" s="1">
        <v>2</v>
      </c>
      <c r="H118" s="23"/>
      <c r="I118" s="22"/>
      <c r="J118" s="41" t="s">
        <v>127</v>
      </c>
      <c r="K118" s="23"/>
    </row>
    <row r="119" spans="1:11" hidden="1">
      <c r="A119" s="5" t="b">
        <v>0</v>
      </c>
      <c r="B119" s="6" t="s">
        <v>26</v>
      </c>
      <c r="C119" s="6"/>
      <c r="D119" s="6" t="b">
        <v>0</v>
      </c>
      <c r="E119" s="6" t="b">
        <v>1</v>
      </c>
      <c r="F119" s="1" t="s">
        <v>27</v>
      </c>
      <c r="G119" s="1"/>
      <c r="H119" s="23"/>
      <c r="I119" s="22"/>
      <c r="J119" s="41" t="s">
        <v>127</v>
      </c>
      <c r="K119" s="23"/>
    </row>
    <row r="120" spans="1:11" hidden="1">
      <c r="A120" s="5" t="b">
        <v>1</v>
      </c>
      <c r="B120" s="6" t="s">
        <v>28</v>
      </c>
      <c r="C120" s="6"/>
      <c r="D120" s="6" t="b">
        <v>0</v>
      </c>
      <c r="E120" s="6" t="b">
        <v>1</v>
      </c>
      <c r="F120" s="1" t="s">
        <v>29</v>
      </c>
      <c r="G120" s="1" t="s">
        <v>30</v>
      </c>
      <c r="H120" s="23"/>
      <c r="I120" s="22"/>
      <c r="J120" s="41" t="s">
        <v>127</v>
      </c>
      <c r="K120" s="23"/>
    </row>
    <row r="121" spans="1:11" hidden="1">
      <c r="A121" s="3"/>
      <c r="B121" s="4" t="s">
        <v>31</v>
      </c>
      <c r="C121" s="4"/>
      <c r="D121" s="4" t="b">
        <v>0</v>
      </c>
      <c r="E121" s="4" t="b">
        <v>1</v>
      </c>
      <c r="F121" s="7" t="s">
        <v>32</v>
      </c>
      <c r="G121" s="7"/>
      <c r="H121" s="7"/>
      <c r="I121" s="7"/>
      <c r="J121" s="41" t="s">
        <v>127</v>
      </c>
      <c r="K121" s="7"/>
    </row>
    <row r="122" spans="1:11" ht="29">
      <c r="A122" s="5" t="b">
        <v>1</v>
      </c>
      <c r="B122" s="6" t="s">
        <v>33</v>
      </c>
      <c r="C122" s="6"/>
      <c r="D122" s="6" t="b">
        <v>0</v>
      </c>
      <c r="E122" s="6" t="b">
        <v>1</v>
      </c>
      <c r="F122" s="24" t="s">
        <v>1606</v>
      </c>
      <c r="G122" s="44" t="s">
        <v>1636</v>
      </c>
      <c r="H122" s="35" t="s">
        <v>1608</v>
      </c>
      <c r="I122" s="1" t="s">
        <v>1129</v>
      </c>
      <c r="J122" s="41" t="s">
        <v>127</v>
      </c>
      <c r="K122" s="23"/>
    </row>
    <row r="123" spans="1:11">
      <c r="A123" s="5" t="b">
        <v>0</v>
      </c>
      <c r="B123" s="6" t="s">
        <v>35</v>
      </c>
      <c r="C123" s="6"/>
      <c r="D123" s="6" t="b">
        <v>0</v>
      </c>
      <c r="E123" s="6" t="b">
        <v>1</v>
      </c>
      <c r="F123" s="24" t="s">
        <v>1542</v>
      </c>
      <c r="G123" s="44" t="s">
        <v>1637</v>
      </c>
      <c r="H123" s="35" t="s">
        <v>1610</v>
      </c>
      <c r="I123" s="1" t="s">
        <v>1129</v>
      </c>
      <c r="J123" s="41" t="s">
        <v>127</v>
      </c>
      <c r="K123" s="23"/>
    </row>
    <row r="124" spans="1:11">
      <c r="A124" s="5" t="b">
        <v>0</v>
      </c>
      <c r="B124" s="6" t="s">
        <v>35</v>
      </c>
      <c r="C124" s="6"/>
      <c r="D124" s="6" t="b">
        <v>0</v>
      </c>
      <c r="E124" s="6" t="b">
        <v>1</v>
      </c>
      <c r="F124" s="24" t="s">
        <v>1611</v>
      </c>
      <c r="G124" s="44" t="s">
        <v>1638</v>
      </c>
      <c r="H124" s="38" t="s">
        <v>1613</v>
      </c>
      <c r="I124" s="1" t="s">
        <v>1129</v>
      </c>
      <c r="J124" s="41" t="s">
        <v>127</v>
      </c>
      <c r="K124" s="23"/>
    </row>
    <row r="125" spans="1:11">
      <c r="A125" s="5" t="b">
        <v>0</v>
      </c>
      <c r="B125" s="6" t="s">
        <v>33</v>
      </c>
      <c r="C125" s="6"/>
      <c r="D125" s="6" t="b">
        <v>0</v>
      </c>
      <c r="E125" s="6" t="b">
        <v>1</v>
      </c>
      <c r="F125" s="25" t="s">
        <v>1614</v>
      </c>
      <c r="G125" s="44"/>
      <c r="H125" s="35"/>
      <c r="I125" s="1" t="s">
        <v>1129</v>
      </c>
      <c r="J125" s="41" t="s">
        <v>20</v>
      </c>
      <c r="K125" s="23"/>
    </row>
    <row r="126" spans="1:11">
      <c r="A126" s="5" t="b">
        <v>0</v>
      </c>
      <c r="B126" s="6" t="s">
        <v>35</v>
      </c>
      <c r="C126" s="6"/>
      <c r="D126" s="6" t="b">
        <v>0</v>
      </c>
      <c r="E126" s="6" t="b">
        <v>1</v>
      </c>
      <c r="F126" s="22" t="s">
        <v>1615</v>
      </c>
      <c r="G126" s="44" t="s">
        <v>1616</v>
      </c>
      <c r="H126" s="35" t="s">
        <v>1617</v>
      </c>
      <c r="I126" s="1" t="s">
        <v>1129</v>
      </c>
      <c r="J126" s="41" t="s">
        <v>127</v>
      </c>
      <c r="K126" s="23"/>
    </row>
    <row r="127" spans="1:11">
      <c r="A127" s="5" t="b">
        <v>0</v>
      </c>
      <c r="B127" s="6" t="s">
        <v>35</v>
      </c>
      <c r="C127" s="6"/>
      <c r="D127" s="6" t="b">
        <v>0</v>
      </c>
      <c r="E127" s="6" t="b">
        <v>1</v>
      </c>
      <c r="F127" s="22" t="s">
        <v>1618</v>
      </c>
      <c r="G127" s="44" t="s">
        <v>1639</v>
      </c>
      <c r="H127" s="35" t="s">
        <v>1620</v>
      </c>
      <c r="I127" s="1" t="s">
        <v>1129</v>
      </c>
      <c r="J127" s="41" t="s">
        <v>127</v>
      </c>
      <c r="K127" s="23"/>
    </row>
    <row r="128" spans="1:11">
      <c r="A128" s="5" t="b">
        <v>0</v>
      </c>
      <c r="B128" s="6" t="s">
        <v>33</v>
      </c>
      <c r="C128" s="6"/>
      <c r="D128" s="6" t="b">
        <v>0</v>
      </c>
      <c r="E128" s="6" t="b">
        <v>1</v>
      </c>
      <c r="F128" s="22" t="s">
        <v>1621</v>
      </c>
      <c r="G128" s="44" t="s">
        <v>1640</v>
      </c>
      <c r="H128" s="38" t="s">
        <v>1623</v>
      </c>
      <c r="I128" s="1" t="s">
        <v>1129</v>
      </c>
      <c r="J128" s="41" t="s">
        <v>127</v>
      </c>
      <c r="K128" s="23"/>
    </row>
    <row r="129" spans="1:11">
      <c r="A129" s="5" t="b">
        <v>0</v>
      </c>
      <c r="B129" s="6" t="s">
        <v>35</v>
      </c>
      <c r="C129" s="6"/>
      <c r="D129" s="6" t="b">
        <v>0</v>
      </c>
      <c r="E129" s="6" t="b">
        <v>1</v>
      </c>
      <c r="F129" s="22" t="s">
        <v>1141</v>
      </c>
      <c r="G129" s="44"/>
      <c r="H129" s="35"/>
      <c r="I129" s="1" t="s">
        <v>1129</v>
      </c>
      <c r="J129" s="41" t="s">
        <v>20</v>
      </c>
      <c r="K129" s="23"/>
    </row>
    <row r="130" spans="1:11">
      <c r="A130" s="5" t="b">
        <v>0</v>
      </c>
      <c r="B130" s="6" t="s">
        <v>35</v>
      </c>
      <c r="C130" s="6"/>
      <c r="D130" s="6" t="b">
        <v>0</v>
      </c>
      <c r="E130" s="6" t="b">
        <v>1</v>
      </c>
      <c r="F130" s="22" t="s">
        <v>1624</v>
      </c>
      <c r="G130" s="44" t="s">
        <v>1625</v>
      </c>
      <c r="H130" s="35" t="s">
        <v>1625</v>
      </c>
      <c r="I130" s="1" t="s">
        <v>1129</v>
      </c>
      <c r="J130" s="41" t="s">
        <v>127</v>
      </c>
      <c r="K130" s="23"/>
    </row>
    <row r="131" spans="1:11">
      <c r="A131" s="5" t="b">
        <v>0</v>
      </c>
      <c r="B131" s="6" t="s">
        <v>33</v>
      </c>
      <c r="C131" s="6"/>
      <c r="D131" s="6" t="b">
        <v>0</v>
      </c>
      <c r="E131" s="6" t="b">
        <v>1</v>
      </c>
      <c r="F131" s="24" t="s">
        <v>1626</v>
      </c>
      <c r="G131" s="44" t="s">
        <v>1627</v>
      </c>
      <c r="H131" s="38" t="s">
        <v>1628</v>
      </c>
      <c r="I131" s="1" t="s">
        <v>1129</v>
      </c>
      <c r="J131" s="41" t="s">
        <v>127</v>
      </c>
      <c r="K131" s="23"/>
    </row>
    <row r="132" spans="1:11">
      <c r="A132" s="5" t="b">
        <v>0</v>
      </c>
      <c r="B132" s="6" t="s">
        <v>35</v>
      </c>
      <c r="C132" s="6"/>
      <c r="D132" s="6" t="b">
        <v>0</v>
      </c>
      <c r="E132" s="6" t="b">
        <v>1</v>
      </c>
      <c r="F132" s="24" t="s">
        <v>1629</v>
      </c>
      <c r="G132" s="44" t="s">
        <v>1630</v>
      </c>
      <c r="H132" s="31" t="s">
        <v>1630</v>
      </c>
      <c r="I132" s="1" t="s">
        <v>1129</v>
      </c>
      <c r="J132" s="41" t="s">
        <v>127</v>
      </c>
      <c r="K132" s="23"/>
    </row>
    <row r="133" spans="1:11">
      <c r="A133" s="5" t="b">
        <v>0</v>
      </c>
      <c r="B133" s="6" t="s">
        <v>33</v>
      </c>
      <c r="C133" s="6"/>
      <c r="D133" s="6" t="b">
        <v>0</v>
      </c>
      <c r="E133" s="6" t="b">
        <v>1</v>
      </c>
      <c r="F133" s="24" t="s">
        <v>939</v>
      </c>
      <c r="G133" s="44" t="s">
        <v>1631</v>
      </c>
      <c r="H133" s="38" t="s">
        <v>1632</v>
      </c>
      <c r="I133" s="1" t="s">
        <v>1129</v>
      </c>
      <c r="J133" s="41" t="s">
        <v>127</v>
      </c>
      <c r="K133" s="23"/>
    </row>
    <row r="134" spans="1:11" ht="29">
      <c r="A134" s="5" t="b">
        <v>0</v>
      </c>
      <c r="B134" s="6" t="s">
        <v>35</v>
      </c>
      <c r="C134" s="6"/>
      <c r="D134" s="6" t="b">
        <v>0</v>
      </c>
      <c r="E134" s="6" t="b">
        <v>1</v>
      </c>
      <c r="F134" s="25" t="s">
        <v>1633</v>
      </c>
      <c r="G134" s="44" t="s">
        <v>1221</v>
      </c>
      <c r="H134" s="35" t="s">
        <v>1221</v>
      </c>
      <c r="I134" s="1" t="s">
        <v>1129</v>
      </c>
      <c r="J134" s="41" t="s">
        <v>127</v>
      </c>
      <c r="K134" s="23"/>
    </row>
    <row r="135" spans="1:11">
      <c r="A135" s="3"/>
      <c r="B135" s="4" t="s">
        <v>36</v>
      </c>
      <c r="C135" s="4"/>
      <c r="D135" s="4" t="b">
        <v>0</v>
      </c>
      <c r="E135" s="4" t="b">
        <v>1</v>
      </c>
      <c r="F135" s="7" t="s">
        <v>37</v>
      </c>
      <c r="G135" s="7"/>
      <c r="H135" s="7"/>
      <c r="I135" s="7"/>
      <c r="J135" s="7"/>
      <c r="K135" s="7"/>
    </row>
    <row r="136" spans="1:11" ht="72.5">
      <c r="A136" s="5" t="b">
        <v>0</v>
      </c>
      <c r="B136" s="6" t="s">
        <v>38</v>
      </c>
      <c r="C136" s="6"/>
      <c r="D136" s="6" t="b">
        <v>0</v>
      </c>
      <c r="E136" s="6" t="b">
        <v>1</v>
      </c>
      <c r="F136" s="1"/>
      <c r="G136" s="94"/>
      <c r="H136" s="35" t="s">
        <v>1634</v>
      </c>
      <c r="I136" s="26" t="s">
        <v>1129</v>
      </c>
      <c r="J136" s="41" t="s">
        <v>20</v>
      </c>
      <c r="K136" s="82" t="s">
        <v>161</v>
      </c>
    </row>
  </sheetData>
  <phoneticPr fontId="8" type="noConversion"/>
  <conditionalFormatting sqref="J136">
    <cfRule type="cellIs" dxfId="41" priority="36" operator="equal">
      <formula>"Y"</formula>
    </cfRule>
  </conditionalFormatting>
  <conditionalFormatting sqref="J29:J32 J58:J61">
    <cfRule type="cellIs" dxfId="40" priority="35" operator="equal">
      <formula>"Y"</formula>
    </cfRule>
  </conditionalFormatting>
  <conditionalFormatting sqref="J113">
    <cfRule type="cellIs" dxfId="39" priority="34" operator="equal">
      <formula>"Y"</formula>
    </cfRule>
  </conditionalFormatting>
  <conditionalFormatting sqref="J18 J23 J25 J28">
    <cfRule type="cellIs" dxfId="38" priority="33" operator="equal">
      <formula>"Y"</formula>
    </cfRule>
  </conditionalFormatting>
  <conditionalFormatting sqref="J102 J106">
    <cfRule type="cellIs" dxfId="37" priority="32" operator="equal">
      <formula>"Y"</formula>
    </cfRule>
  </conditionalFormatting>
  <conditionalFormatting sqref="J6:J13">
    <cfRule type="cellIs" dxfId="36" priority="31" operator="equal">
      <formula>"Y"</formula>
    </cfRule>
  </conditionalFormatting>
  <conditionalFormatting sqref="J15:J17">
    <cfRule type="cellIs" dxfId="35" priority="30" operator="equal">
      <formula>"Y"</formula>
    </cfRule>
  </conditionalFormatting>
  <conditionalFormatting sqref="J19:J21">
    <cfRule type="cellIs" dxfId="34" priority="29" operator="equal">
      <formula>"Y"</formula>
    </cfRule>
  </conditionalFormatting>
  <conditionalFormatting sqref="J22">
    <cfRule type="cellIs" dxfId="33" priority="28" operator="equal">
      <formula>"Y"</formula>
    </cfRule>
  </conditionalFormatting>
  <conditionalFormatting sqref="J24">
    <cfRule type="cellIs" dxfId="32" priority="27" operator="equal">
      <formula>"Y"</formula>
    </cfRule>
  </conditionalFormatting>
  <conditionalFormatting sqref="J26:J27">
    <cfRule type="cellIs" dxfId="31" priority="26" operator="equal">
      <formula>"Y"</formula>
    </cfRule>
  </conditionalFormatting>
  <conditionalFormatting sqref="J93:J101">
    <cfRule type="cellIs" dxfId="30" priority="25" operator="equal">
      <formula>"Y"</formula>
    </cfRule>
  </conditionalFormatting>
  <conditionalFormatting sqref="J103:J105">
    <cfRule type="cellIs" dxfId="29" priority="24" operator="equal">
      <formula>"Y"</formula>
    </cfRule>
  </conditionalFormatting>
  <conditionalFormatting sqref="J107:J111">
    <cfRule type="cellIs" dxfId="28" priority="23" operator="equal">
      <formula>"Y"</formula>
    </cfRule>
  </conditionalFormatting>
  <conditionalFormatting sqref="J47 J52 J54 J57">
    <cfRule type="cellIs" dxfId="27" priority="22" operator="equal">
      <formula>"Y"</formula>
    </cfRule>
  </conditionalFormatting>
  <conditionalFormatting sqref="J35:J42">
    <cfRule type="cellIs" dxfId="26" priority="21" operator="equal">
      <formula>"Y"</formula>
    </cfRule>
  </conditionalFormatting>
  <conditionalFormatting sqref="J44:J46">
    <cfRule type="cellIs" dxfId="25" priority="20" operator="equal">
      <formula>"Y"</formula>
    </cfRule>
  </conditionalFormatting>
  <conditionalFormatting sqref="J48:J50">
    <cfRule type="cellIs" dxfId="24" priority="19" operator="equal">
      <formula>"Y"</formula>
    </cfRule>
  </conditionalFormatting>
  <conditionalFormatting sqref="J51">
    <cfRule type="cellIs" dxfId="23" priority="18" operator="equal">
      <formula>"Y"</formula>
    </cfRule>
  </conditionalFormatting>
  <conditionalFormatting sqref="J53">
    <cfRule type="cellIs" dxfId="22" priority="17" operator="equal">
      <formula>"Y"</formula>
    </cfRule>
  </conditionalFormatting>
  <conditionalFormatting sqref="J55:J56">
    <cfRule type="cellIs" dxfId="21" priority="16" operator="equal">
      <formula>"Y"</formula>
    </cfRule>
  </conditionalFormatting>
  <conditionalFormatting sqref="J125 J129">
    <cfRule type="cellIs" dxfId="20" priority="15" operator="equal">
      <formula>"Y"</formula>
    </cfRule>
  </conditionalFormatting>
  <conditionalFormatting sqref="J116:J124">
    <cfRule type="cellIs" dxfId="19" priority="14" operator="equal">
      <formula>"Y"</formula>
    </cfRule>
  </conditionalFormatting>
  <conditionalFormatting sqref="J126:J128">
    <cfRule type="cellIs" dxfId="18" priority="13" operator="equal">
      <formula>"Y"</formula>
    </cfRule>
  </conditionalFormatting>
  <conditionalFormatting sqref="J130:J134">
    <cfRule type="cellIs" dxfId="17" priority="12" operator="equal">
      <formula>"Y"</formula>
    </cfRule>
  </conditionalFormatting>
  <conditionalFormatting sqref="J87:J90">
    <cfRule type="cellIs" dxfId="16" priority="11" operator="equal">
      <formula>"Y"</formula>
    </cfRule>
  </conditionalFormatting>
  <conditionalFormatting sqref="J76 J81 J83 J86">
    <cfRule type="cellIs" dxfId="15" priority="10" operator="equal">
      <formula>"Y"</formula>
    </cfRule>
  </conditionalFormatting>
  <conditionalFormatting sqref="J64:J71">
    <cfRule type="cellIs" dxfId="14" priority="9" operator="equal">
      <formula>"Y"</formula>
    </cfRule>
  </conditionalFormatting>
  <conditionalFormatting sqref="J73:J75">
    <cfRule type="cellIs" dxfId="13" priority="8" operator="equal">
      <formula>"Y"</formula>
    </cfRule>
  </conditionalFormatting>
  <conditionalFormatting sqref="J77:J79">
    <cfRule type="cellIs" dxfId="12" priority="7" operator="equal">
      <formula>"Y"</formula>
    </cfRule>
  </conditionalFormatting>
  <conditionalFormatting sqref="J80">
    <cfRule type="cellIs" dxfId="11" priority="6" operator="equal">
      <formula>"Y"</formula>
    </cfRule>
  </conditionalFormatting>
  <conditionalFormatting sqref="J82">
    <cfRule type="cellIs" dxfId="10" priority="5" operator="equal">
      <formula>"Y"</formula>
    </cfRule>
  </conditionalFormatting>
  <conditionalFormatting sqref="J84:J85">
    <cfRule type="cellIs" dxfId="9" priority="4" operator="equal">
      <formula>"Y"</formula>
    </cfRule>
  </conditionalFormatting>
  <conditionalFormatting sqref="J14">
    <cfRule type="cellIs" dxfId="8" priority="3" operator="equal">
      <formula>"Y"</formula>
    </cfRule>
  </conditionalFormatting>
  <conditionalFormatting sqref="J43">
    <cfRule type="cellIs" dxfId="7" priority="2" operator="equal">
      <formula>"Y"</formula>
    </cfRule>
  </conditionalFormatting>
  <conditionalFormatting sqref="J72">
    <cfRule type="cellIs" dxfId="6" priority="1" operator="equal">
      <formula>"Y"</formula>
    </cfRule>
  </conditionalFormatting>
  <dataValidations count="2">
    <dataValidation type="list" allowBlank="1" showInputMessage="1" showErrorMessage="1" sqref="C2:E2 G2" xr:uid="{00000000-0002-0000-0D00-000000000000}">
      <formula1>SectionNames</formula1>
    </dataValidation>
    <dataValidation type="list" allowBlank="1" showInputMessage="1" showErrorMessage="1" sqref="G39 G68 G10 G97 G120" xr:uid="{00000000-0002-0000-0D00-000001000000}">
      <formula1>"None,Numbered,Bullets"</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CB738-2746-4B67-9DA6-9DDE24726D50}">
  <dimension ref="A1:K32"/>
  <sheetViews>
    <sheetView topLeftCell="F1" workbookViewId="0">
      <selection activeCell="D40" sqref="D40"/>
    </sheetView>
  </sheetViews>
  <sheetFormatPr defaultColWidth="9.1796875" defaultRowHeight="14.5"/>
  <cols>
    <col min="1" max="1" width="18.54296875" hidden="1" customWidth="1"/>
    <col min="2" max="2" width="21.453125" hidden="1" customWidth="1"/>
    <col min="3" max="3" width="18.54296875" hidden="1" customWidth="1"/>
    <col min="4" max="5" width="12.453125" hidden="1" customWidth="1"/>
    <col min="6" max="6" width="21" customWidth="1"/>
    <col min="7" max="7" width="64.54296875" customWidth="1"/>
    <col min="8" max="8" width="38.453125" customWidth="1"/>
    <col min="9" max="9" width="13.54296875" customWidth="1"/>
    <col min="10" max="10" width="12.54296875" customWidth="1"/>
    <col min="11" max="11" width="25.1796875" customWidth="1"/>
  </cols>
  <sheetData>
    <row r="1" spans="1:11">
      <c r="C1" s="18"/>
      <c r="D1" s="18"/>
      <c r="E1" s="18"/>
      <c r="F1" s="8" t="s">
        <v>1</v>
      </c>
      <c r="G1" s="163" t="str">
        <f>IF(Metadata!B1="","No series name entered",Metadata!B1)</f>
        <v>HP EliteBook 865 164 inch G10 Notebook PC</v>
      </c>
    </row>
    <row r="2" spans="1:11">
      <c r="F2" s="12" t="s">
        <v>2</v>
      </c>
      <c r="G2" s="1" t="s">
        <v>3</v>
      </c>
    </row>
    <row r="3" spans="1:11">
      <c r="F3" s="12" t="s">
        <v>43</v>
      </c>
      <c r="G3" s="1" t="str">
        <f>Metadata!B2</f>
        <v>Lox16</v>
      </c>
    </row>
    <row r="4" spans="1:11" ht="29">
      <c r="A4" s="8" t="s">
        <v>4</v>
      </c>
      <c r="B4" s="8" t="s">
        <v>5</v>
      </c>
      <c r="C4" s="8" t="s">
        <v>6</v>
      </c>
      <c r="D4" s="8" t="s">
        <v>113</v>
      </c>
      <c r="E4" s="8" t="s">
        <v>114</v>
      </c>
      <c r="F4" s="8" t="s">
        <v>9</v>
      </c>
      <c r="G4" s="8" t="s">
        <v>10</v>
      </c>
      <c r="H4" s="8" t="s">
        <v>11</v>
      </c>
      <c r="I4" s="8" t="s">
        <v>12</v>
      </c>
      <c r="J4" s="29" t="s">
        <v>13</v>
      </c>
      <c r="K4" s="29" t="s">
        <v>14</v>
      </c>
    </row>
    <row r="5" spans="1:11">
      <c r="A5" s="9"/>
      <c r="B5" s="10" t="s">
        <v>15</v>
      </c>
      <c r="C5" s="10"/>
      <c r="D5" s="10" t="b">
        <v>0</v>
      </c>
      <c r="E5" s="10" t="b">
        <v>1</v>
      </c>
      <c r="F5" s="11" t="s">
        <v>813</v>
      </c>
      <c r="G5" s="11"/>
      <c r="H5" s="11"/>
      <c r="I5" s="11"/>
      <c r="J5" s="11"/>
      <c r="K5" s="11"/>
    </row>
    <row r="6" spans="1:11">
      <c r="A6" s="20"/>
      <c r="B6" s="21" t="s">
        <v>17</v>
      </c>
      <c r="C6" s="21"/>
      <c r="D6" s="21" t="b">
        <v>0</v>
      </c>
      <c r="E6" s="21" t="b">
        <v>1</v>
      </c>
      <c r="F6" s="14" t="s">
        <v>18</v>
      </c>
      <c r="G6" s="14"/>
      <c r="H6" s="14"/>
      <c r="I6" s="14"/>
      <c r="J6" s="41" t="s">
        <v>20</v>
      </c>
      <c r="K6" s="23"/>
    </row>
    <row r="7" spans="1:11" hidden="1">
      <c r="A7" s="5" t="b">
        <v>1</v>
      </c>
      <c r="B7" s="6" t="s">
        <v>21</v>
      </c>
      <c r="C7" s="6"/>
      <c r="D7" s="6" t="b">
        <v>0</v>
      </c>
      <c r="E7" s="6" t="b">
        <v>1</v>
      </c>
      <c r="F7" s="1" t="s">
        <v>22</v>
      </c>
      <c r="G7" s="1" t="s">
        <v>60</v>
      </c>
      <c r="H7" s="23"/>
      <c r="I7" s="22"/>
      <c r="J7" s="1"/>
      <c r="K7" s="23"/>
    </row>
    <row r="8" spans="1:11" hidden="1">
      <c r="A8" s="5" t="b">
        <v>0</v>
      </c>
      <c r="B8" s="6" t="s">
        <v>24</v>
      </c>
      <c r="C8" s="6"/>
      <c r="D8" s="6" t="b">
        <v>0</v>
      </c>
      <c r="E8" s="6" t="b">
        <v>1</v>
      </c>
      <c r="F8" s="1" t="s">
        <v>25</v>
      </c>
      <c r="G8" s="1">
        <v>2</v>
      </c>
      <c r="H8" s="23"/>
      <c r="I8" s="22"/>
      <c r="J8" s="1"/>
      <c r="K8" s="23"/>
    </row>
    <row r="9" spans="1:11" hidden="1">
      <c r="A9" s="5" t="b">
        <v>0</v>
      </c>
      <c r="B9" s="6" t="s">
        <v>26</v>
      </c>
      <c r="C9" s="6"/>
      <c r="D9" s="6" t="b">
        <v>0</v>
      </c>
      <c r="E9" s="6" t="b">
        <v>1</v>
      </c>
      <c r="F9" s="1" t="s">
        <v>27</v>
      </c>
      <c r="G9" s="1"/>
      <c r="H9" s="23"/>
      <c r="I9" s="22"/>
      <c r="J9" s="1"/>
      <c r="K9" s="23"/>
    </row>
    <row r="10" spans="1:11" hidden="1">
      <c r="A10" s="5" t="b">
        <v>1</v>
      </c>
      <c r="B10" s="6" t="s">
        <v>28</v>
      </c>
      <c r="C10" s="6"/>
      <c r="D10" s="6" t="b">
        <v>0</v>
      </c>
      <c r="E10" s="6" t="b">
        <v>1</v>
      </c>
      <c r="F10" s="1" t="s">
        <v>29</v>
      </c>
      <c r="G10" s="1" t="s">
        <v>30</v>
      </c>
      <c r="H10" s="23"/>
      <c r="I10" s="22"/>
      <c r="J10" s="1"/>
      <c r="K10" s="23"/>
    </row>
    <row r="11" spans="1:11" hidden="1">
      <c r="A11" s="3"/>
      <c r="B11" s="4" t="s">
        <v>31</v>
      </c>
      <c r="C11" s="4"/>
      <c r="D11" s="4" t="b">
        <v>0</v>
      </c>
      <c r="E11" s="4" t="b">
        <v>1</v>
      </c>
      <c r="F11" s="7" t="s">
        <v>32</v>
      </c>
      <c r="G11" s="7"/>
      <c r="H11" s="7"/>
      <c r="I11" s="7"/>
      <c r="J11" s="7"/>
      <c r="K11" s="7"/>
    </row>
    <row r="12" spans="1:11">
      <c r="A12" s="5" t="b">
        <v>1</v>
      </c>
      <c r="B12" s="6" t="s">
        <v>33</v>
      </c>
      <c r="C12" s="6"/>
      <c r="D12" s="6" t="b">
        <v>0</v>
      </c>
      <c r="E12" s="6" t="b">
        <v>1</v>
      </c>
      <c r="F12" s="24" t="s">
        <v>1641</v>
      </c>
      <c r="G12" s="44" t="s">
        <v>1642</v>
      </c>
      <c r="H12" s="38" t="s">
        <v>1643</v>
      </c>
      <c r="I12" s="1" t="s">
        <v>1129</v>
      </c>
      <c r="J12" s="41" t="s">
        <v>127</v>
      </c>
      <c r="K12" s="23"/>
    </row>
    <row r="13" spans="1:11" ht="58">
      <c r="A13" s="5" t="b">
        <v>0</v>
      </c>
      <c r="B13" s="6" t="s">
        <v>35</v>
      </c>
      <c r="C13" s="6"/>
      <c r="D13" s="6" t="b">
        <v>0</v>
      </c>
      <c r="E13" s="6" t="b">
        <v>1</v>
      </c>
      <c r="F13" s="24" t="s">
        <v>1644</v>
      </c>
      <c r="G13" s="44" t="s">
        <v>1645</v>
      </c>
      <c r="H13" s="38" t="s">
        <v>1646</v>
      </c>
      <c r="I13" s="1" t="s">
        <v>1129</v>
      </c>
      <c r="J13" s="41" t="s">
        <v>127</v>
      </c>
      <c r="K13" s="23"/>
    </row>
    <row r="14" spans="1:11" ht="43.5">
      <c r="A14" s="5" t="b">
        <v>0</v>
      </c>
      <c r="B14" s="6" t="s">
        <v>33</v>
      </c>
      <c r="C14" s="6"/>
      <c r="D14" s="6" t="b">
        <v>0</v>
      </c>
      <c r="E14" s="6" t="b">
        <v>1</v>
      </c>
      <c r="F14" s="24" t="s">
        <v>1647</v>
      </c>
      <c r="G14" s="48" t="s">
        <v>1648</v>
      </c>
      <c r="H14" s="38" t="s">
        <v>1649</v>
      </c>
      <c r="I14" s="1" t="s">
        <v>1129</v>
      </c>
      <c r="J14" s="41" t="s">
        <v>127</v>
      </c>
      <c r="K14" s="23"/>
    </row>
    <row r="15" spans="1:11" ht="43.5">
      <c r="A15" s="5" t="b">
        <v>0</v>
      </c>
      <c r="B15" s="6" t="s">
        <v>35</v>
      </c>
      <c r="C15" s="6"/>
      <c r="D15" s="6" t="b">
        <v>0</v>
      </c>
      <c r="E15" s="6" t="b">
        <v>1</v>
      </c>
      <c r="F15" s="24" t="s">
        <v>1650</v>
      </c>
      <c r="G15" s="44" t="s">
        <v>1651</v>
      </c>
      <c r="H15" s="38" t="s">
        <v>1652</v>
      </c>
      <c r="I15" s="1" t="s">
        <v>1129</v>
      </c>
      <c r="J15" s="41" t="s">
        <v>127</v>
      </c>
      <c r="K15" s="23"/>
    </row>
    <row r="16" spans="1:11" ht="43.5">
      <c r="A16" s="5" t="b">
        <v>0</v>
      </c>
      <c r="B16" s="6" t="s">
        <v>35</v>
      </c>
      <c r="C16" s="6"/>
      <c r="D16" s="6" t="b">
        <v>0</v>
      </c>
      <c r="E16" s="6" t="b">
        <v>1</v>
      </c>
      <c r="F16" s="24" t="s">
        <v>1653</v>
      </c>
      <c r="G16" s="44" t="s">
        <v>1654</v>
      </c>
      <c r="H16" s="38" t="s">
        <v>1655</v>
      </c>
      <c r="I16" s="1" t="s">
        <v>1129</v>
      </c>
      <c r="J16" s="41" t="s">
        <v>127</v>
      </c>
      <c r="K16" s="23"/>
    </row>
    <row r="17" spans="1:11" ht="43.5">
      <c r="A17" s="5" t="b">
        <v>0</v>
      </c>
      <c r="B17" s="6" t="s">
        <v>35</v>
      </c>
      <c r="C17" s="6"/>
      <c r="D17" s="6" t="b">
        <v>0</v>
      </c>
      <c r="E17" s="6" t="b">
        <v>1</v>
      </c>
      <c r="F17" s="24" t="s">
        <v>1656</v>
      </c>
      <c r="G17" s="44"/>
      <c r="H17" s="38" t="s">
        <v>1657</v>
      </c>
      <c r="I17" s="1" t="s">
        <v>1129</v>
      </c>
      <c r="J17" s="41" t="s">
        <v>20</v>
      </c>
      <c r="K17" s="23"/>
    </row>
    <row r="18" spans="1:11" ht="29">
      <c r="A18" s="5" t="b">
        <v>0</v>
      </c>
      <c r="B18" s="6" t="s">
        <v>33</v>
      </c>
      <c r="C18" s="6"/>
      <c r="D18" s="6" t="b">
        <v>0</v>
      </c>
      <c r="E18" s="6" t="b">
        <v>1</v>
      </c>
      <c r="F18" s="24" t="s">
        <v>1658</v>
      </c>
      <c r="G18" s="48" t="s">
        <v>1659</v>
      </c>
      <c r="H18" s="38" t="s">
        <v>1660</v>
      </c>
      <c r="I18" s="1" t="s">
        <v>1129</v>
      </c>
      <c r="J18" s="41" t="s">
        <v>127</v>
      </c>
      <c r="K18" s="23"/>
    </row>
    <row r="19" spans="1:11" ht="29">
      <c r="A19" s="5" t="b">
        <v>0</v>
      </c>
      <c r="B19" s="6" t="s">
        <v>35</v>
      </c>
      <c r="C19" s="6"/>
      <c r="D19" s="6" t="b">
        <v>0</v>
      </c>
      <c r="E19" s="6" t="b">
        <v>1</v>
      </c>
      <c r="F19" s="24" t="s">
        <v>1661</v>
      </c>
      <c r="G19" s="44"/>
      <c r="H19" s="38" t="s">
        <v>1662</v>
      </c>
      <c r="I19" s="1" t="s">
        <v>1129</v>
      </c>
      <c r="J19" s="41" t="s">
        <v>20</v>
      </c>
      <c r="K19" s="23"/>
    </row>
    <row r="20" spans="1:11">
      <c r="A20" s="5" t="b">
        <v>0</v>
      </c>
      <c r="B20" s="6" t="s">
        <v>35</v>
      </c>
      <c r="C20" s="6"/>
      <c r="D20" s="6" t="b">
        <v>0</v>
      </c>
      <c r="E20" s="6" t="b">
        <v>1</v>
      </c>
      <c r="F20" s="24" t="s">
        <v>1663</v>
      </c>
      <c r="G20" s="44" t="s">
        <v>1135</v>
      </c>
      <c r="H20" s="38" t="s">
        <v>1135</v>
      </c>
      <c r="I20" s="1" t="s">
        <v>1129</v>
      </c>
      <c r="J20" s="41" t="s">
        <v>127</v>
      </c>
      <c r="K20" s="23"/>
    </row>
    <row r="21" spans="1:11">
      <c r="A21" s="5" t="b">
        <v>0</v>
      </c>
      <c r="B21" s="6" t="s">
        <v>35</v>
      </c>
      <c r="C21" s="6"/>
      <c r="D21" s="6" t="b">
        <v>0</v>
      </c>
      <c r="E21" s="6" t="b">
        <v>1</v>
      </c>
      <c r="F21" s="22"/>
      <c r="G21" s="44"/>
      <c r="H21" s="35"/>
      <c r="I21" s="1" t="s">
        <v>1129</v>
      </c>
      <c r="J21" s="41" t="s">
        <v>20</v>
      </c>
      <c r="K21" s="23"/>
    </row>
    <row r="22" spans="1:11">
      <c r="A22" s="5" t="b">
        <v>0</v>
      </c>
      <c r="B22" s="6" t="s">
        <v>35</v>
      </c>
      <c r="C22" s="6"/>
      <c r="D22" s="6" t="b">
        <v>0</v>
      </c>
      <c r="E22" s="6" t="b">
        <v>1</v>
      </c>
      <c r="F22" s="22"/>
      <c r="G22" s="44"/>
      <c r="H22" s="35"/>
      <c r="I22" s="1" t="s">
        <v>1129</v>
      </c>
      <c r="J22" s="41" t="s">
        <v>20</v>
      </c>
      <c r="K22" s="23"/>
    </row>
    <row r="23" spans="1:11">
      <c r="A23" s="5" t="b">
        <v>0</v>
      </c>
      <c r="B23" s="6" t="s">
        <v>33</v>
      </c>
      <c r="C23" s="6"/>
      <c r="D23" s="6" t="b">
        <v>0</v>
      </c>
      <c r="E23" s="6" t="b">
        <v>1</v>
      </c>
      <c r="F23" s="24"/>
      <c r="G23" s="48"/>
      <c r="H23" s="38"/>
      <c r="I23" s="1" t="s">
        <v>1129</v>
      </c>
      <c r="J23" s="41" t="s">
        <v>20</v>
      </c>
      <c r="K23" s="23"/>
    </row>
    <row r="24" spans="1:11">
      <c r="A24" s="5" t="b">
        <v>0</v>
      </c>
      <c r="B24" s="6" t="s">
        <v>35</v>
      </c>
      <c r="C24" s="6"/>
      <c r="D24" s="6" t="b">
        <v>0</v>
      </c>
      <c r="E24" s="6" t="b">
        <v>1</v>
      </c>
      <c r="F24" s="24"/>
      <c r="G24" s="40"/>
      <c r="H24" s="31"/>
      <c r="I24" s="1" t="s">
        <v>1129</v>
      </c>
      <c r="J24" s="41" t="s">
        <v>20</v>
      </c>
      <c r="K24" s="23"/>
    </row>
    <row r="25" spans="1:11">
      <c r="A25" s="5" t="b">
        <v>0</v>
      </c>
      <c r="B25" s="6" t="s">
        <v>33</v>
      </c>
      <c r="C25" s="6"/>
      <c r="D25" s="6" t="b">
        <v>0</v>
      </c>
      <c r="E25" s="6" t="b">
        <v>1</v>
      </c>
      <c r="F25" s="24"/>
      <c r="G25" s="48"/>
      <c r="H25" s="38"/>
      <c r="I25" s="1" t="s">
        <v>1129</v>
      </c>
      <c r="J25" s="41" t="s">
        <v>20</v>
      </c>
      <c r="K25" s="23"/>
    </row>
    <row r="26" spans="1:11">
      <c r="A26" s="5" t="b">
        <v>0</v>
      </c>
      <c r="B26" s="6" t="s">
        <v>35</v>
      </c>
      <c r="C26" s="6"/>
      <c r="D26" s="6" t="b">
        <v>0</v>
      </c>
      <c r="E26" s="6" t="b">
        <v>1</v>
      </c>
      <c r="F26" s="25"/>
      <c r="G26" s="44"/>
      <c r="H26" s="35"/>
      <c r="I26" s="1" t="s">
        <v>1129</v>
      </c>
      <c r="J26" s="41" t="s">
        <v>20</v>
      </c>
      <c r="K26" s="23"/>
    </row>
    <row r="27" spans="1:11">
      <c r="A27" s="5" t="b">
        <v>0</v>
      </c>
      <c r="B27" s="6" t="s">
        <v>35</v>
      </c>
      <c r="C27" s="6"/>
      <c r="D27" s="6" t="b">
        <v>0</v>
      </c>
      <c r="E27" s="6" t="b">
        <v>1</v>
      </c>
      <c r="F27" s="24"/>
      <c r="G27" s="48"/>
      <c r="H27" s="38"/>
      <c r="I27" s="1" t="s">
        <v>1129</v>
      </c>
      <c r="J27" s="41" t="s">
        <v>20</v>
      </c>
      <c r="K27" s="23"/>
    </row>
    <row r="28" spans="1:11">
      <c r="A28" s="5" t="b">
        <v>0</v>
      </c>
      <c r="B28" s="6" t="s">
        <v>35</v>
      </c>
      <c r="C28" s="6"/>
      <c r="D28" s="6" t="b">
        <v>0</v>
      </c>
      <c r="E28" s="6" t="b">
        <v>1</v>
      </c>
      <c r="F28" s="25"/>
      <c r="G28" s="44"/>
      <c r="H28" s="35"/>
      <c r="I28" s="1" t="s">
        <v>1129</v>
      </c>
      <c r="J28" s="41" t="s">
        <v>20</v>
      </c>
      <c r="K28" s="23"/>
    </row>
    <row r="29" spans="1:11">
      <c r="A29" s="5" t="b">
        <v>0</v>
      </c>
      <c r="B29" s="6" t="s">
        <v>35</v>
      </c>
      <c r="C29" s="6"/>
      <c r="D29" s="6" t="b">
        <v>0</v>
      </c>
      <c r="E29" s="6" t="b">
        <v>1</v>
      </c>
      <c r="F29" s="25"/>
      <c r="G29" s="44"/>
      <c r="H29" s="35"/>
      <c r="I29" s="1" t="s">
        <v>1129</v>
      </c>
      <c r="J29" s="41" t="s">
        <v>20</v>
      </c>
      <c r="K29" s="23"/>
    </row>
    <row r="30" spans="1:11">
      <c r="A30" s="5" t="b">
        <v>0</v>
      </c>
      <c r="B30" s="6" t="s">
        <v>35</v>
      </c>
      <c r="C30" s="6"/>
      <c r="D30" s="6" t="b">
        <v>0</v>
      </c>
      <c r="E30" s="6" t="b">
        <v>1</v>
      </c>
      <c r="F30" s="25"/>
      <c r="G30" s="44"/>
      <c r="H30" s="35"/>
      <c r="I30" s="1" t="s">
        <v>1129</v>
      </c>
      <c r="J30" s="41" t="s">
        <v>20</v>
      </c>
      <c r="K30" s="23"/>
    </row>
    <row r="31" spans="1:11">
      <c r="A31" s="5" t="b">
        <v>0</v>
      </c>
      <c r="B31" s="6" t="s">
        <v>35</v>
      </c>
      <c r="C31" s="6"/>
      <c r="D31" s="6" t="b">
        <v>0</v>
      </c>
      <c r="E31" s="6" t="b">
        <v>1</v>
      </c>
      <c r="F31" s="25"/>
      <c r="G31" s="43"/>
      <c r="H31" s="39"/>
      <c r="I31" s="1" t="s">
        <v>1129</v>
      </c>
      <c r="J31" s="41" t="s">
        <v>20</v>
      </c>
      <c r="K31" s="23"/>
    </row>
    <row r="32" spans="1:11">
      <c r="A32" s="5" t="b">
        <v>0</v>
      </c>
      <c r="B32" s="6" t="s">
        <v>38</v>
      </c>
      <c r="C32" s="6"/>
      <c r="D32" s="6" t="b">
        <v>0</v>
      </c>
      <c r="E32" s="6" t="b">
        <v>1</v>
      </c>
      <c r="F32" s="24"/>
      <c r="G32" s="48"/>
      <c r="H32" s="38"/>
      <c r="I32" s="26" t="s">
        <v>1129</v>
      </c>
      <c r="J32" s="41" t="s">
        <v>20</v>
      </c>
      <c r="K32" s="23"/>
    </row>
  </sheetData>
  <conditionalFormatting sqref="J6">
    <cfRule type="cellIs" dxfId="5" priority="11" operator="equal">
      <formula>"Y"</formula>
    </cfRule>
  </conditionalFormatting>
  <conditionalFormatting sqref="J12:J32">
    <cfRule type="cellIs" dxfId="4" priority="10" operator="equal">
      <formula>"Y"</formula>
    </cfRule>
  </conditionalFormatting>
  <dataValidations count="3">
    <dataValidation type="list" allowBlank="1" showInputMessage="1" showErrorMessage="1" sqref="G7" xr:uid="{707C2B1A-F3F9-45C9-ACCF-782A3EF83829}">
      <formula1>TableTypeNames</formula1>
    </dataValidation>
    <dataValidation type="list" allowBlank="1" showInputMessage="1" showErrorMessage="1" sqref="G10" xr:uid="{78BF26B9-E966-48D1-B058-17C7DB34C070}">
      <formula1>"None,Numbered,Bullets"</formula1>
    </dataValidation>
    <dataValidation type="list" allowBlank="1" showInputMessage="1" showErrorMessage="1" sqref="C2:E2 G2" xr:uid="{C6718166-3E05-4036-8CEA-523F8641E26F}">
      <formula1>SectionNames</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1"/>
  </sheetPr>
  <dimension ref="A1:K37"/>
  <sheetViews>
    <sheetView topLeftCell="F4" workbookViewId="0">
      <selection activeCell="J22" sqref="J22"/>
    </sheetView>
  </sheetViews>
  <sheetFormatPr defaultRowHeight="14.5"/>
  <cols>
    <col min="1" max="1" width="11.81640625" hidden="1" customWidth="1"/>
    <col min="2" max="2" width="11.453125" hidden="1" customWidth="1"/>
    <col min="3" max="3" width="10.1796875" hidden="1" customWidth="1"/>
    <col min="4" max="4" width="11.1796875" hidden="1" customWidth="1"/>
    <col min="5" max="5" width="9.81640625" hidden="1" customWidth="1"/>
    <col min="6" max="6" width="19.81640625" customWidth="1"/>
    <col min="7" max="7" width="52.81640625" customWidth="1"/>
    <col min="8" max="8" width="50.1796875" customWidth="1"/>
    <col min="9" max="10" width="16.81640625" customWidth="1"/>
    <col min="11" max="11" width="60.81640625" customWidth="1"/>
  </cols>
  <sheetData>
    <row r="1" spans="1:11">
      <c r="C1" s="18"/>
      <c r="D1" s="18"/>
      <c r="E1" s="18"/>
      <c r="F1" s="8" t="s">
        <v>1</v>
      </c>
      <c r="G1" s="163" t="str">
        <f>IF(Metadata!B1="","No series name entered",Metadata!B1)</f>
        <v>HP EliteBook 865 164 inch G10 Notebook PC</v>
      </c>
    </row>
    <row r="2" spans="1:11">
      <c r="F2" s="12" t="s">
        <v>2</v>
      </c>
      <c r="G2" s="1" t="s">
        <v>3</v>
      </c>
    </row>
    <row r="3" spans="1:11">
      <c r="F3" s="12" t="s">
        <v>43</v>
      </c>
      <c r="G3" s="1" t="s">
        <v>1664</v>
      </c>
    </row>
    <row r="4" spans="1:11" ht="43.5">
      <c r="A4" s="8" t="s">
        <v>4</v>
      </c>
      <c r="B4" s="8" t="s">
        <v>5</v>
      </c>
      <c r="C4" s="8" t="s">
        <v>6</v>
      </c>
      <c r="D4" s="8" t="s">
        <v>113</v>
      </c>
      <c r="E4" s="8" t="s">
        <v>114</v>
      </c>
      <c r="F4" s="8" t="s">
        <v>9</v>
      </c>
      <c r="G4" s="8" t="s">
        <v>10</v>
      </c>
      <c r="H4" s="8" t="s">
        <v>11</v>
      </c>
      <c r="I4" s="8" t="s">
        <v>12</v>
      </c>
      <c r="J4" s="29" t="s">
        <v>13</v>
      </c>
      <c r="K4" s="29" t="s">
        <v>14</v>
      </c>
    </row>
    <row r="5" spans="1:11">
      <c r="A5" s="9"/>
      <c r="B5" s="10" t="s">
        <v>15</v>
      </c>
      <c r="C5" s="10"/>
      <c r="D5" s="10" t="b">
        <v>0</v>
      </c>
      <c r="E5" s="10" t="b">
        <v>1</v>
      </c>
      <c r="F5" s="11" t="s">
        <v>1665</v>
      </c>
      <c r="G5" s="11"/>
      <c r="H5" s="11"/>
      <c r="I5" s="11"/>
      <c r="J5" s="11"/>
      <c r="K5" s="11"/>
    </row>
    <row r="6" spans="1:11">
      <c r="A6" s="20"/>
      <c r="B6" s="21" t="s">
        <v>17</v>
      </c>
      <c r="C6" s="21"/>
      <c r="D6" s="21" t="b">
        <v>0</v>
      </c>
      <c r="E6" s="21" t="b">
        <v>1</v>
      </c>
      <c r="F6" s="14" t="s">
        <v>18</v>
      </c>
      <c r="G6" s="14"/>
      <c r="H6" s="14"/>
      <c r="I6" s="14"/>
      <c r="J6" s="41" t="s">
        <v>20</v>
      </c>
      <c r="K6" s="23"/>
    </row>
    <row r="7" spans="1:11" hidden="1">
      <c r="A7" s="5" t="b">
        <v>1</v>
      </c>
      <c r="B7" s="6" t="s">
        <v>21</v>
      </c>
      <c r="C7" s="6"/>
      <c r="D7" s="6" t="b">
        <v>0</v>
      </c>
      <c r="E7" s="6" t="b">
        <v>1</v>
      </c>
      <c r="F7" s="1" t="s">
        <v>22</v>
      </c>
      <c r="G7" s="123" t="s">
        <v>60</v>
      </c>
      <c r="H7" s="23"/>
      <c r="I7" s="22"/>
      <c r="J7" s="1"/>
      <c r="K7" s="23"/>
    </row>
    <row r="8" spans="1:11" hidden="1">
      <c r="A8" s="5" t="b">
        <v>0</v>
      </c>
      <c r="B8" s="6" t="s">
        <v>24</v>
      </c>
      <c r="C8" s="6"/>
      <c r="D8" s="6" t="b">
        <v>0</v>
      </c>
      <c r="E8" s="6" t="b">
        <v>1</v>
      </c>
      <c r="F8" s="1" t="s">
        <v>25</v>
      </c>
      <c r="G8" s="123">
        <v>2</v>
      </c>
      <c r="H8" s="23"/>
      <c r="I8" s="22"/>
      <c r="J8" s="1"/>
      <c r="K8" s="23"/>
    </row>
    <row r="9" spans="1:11" hidden="1">
      <c r="A9" s="5" t="b">
        <v>0</v>
      </c>
      <c r="B9" s="6" t="s">
        <v>26</v>
      </c>
      <c r="C9" s="6"/>
      <c r="D9" s="6" t="b">
        <v>0</v>
      </c>
      <c r="E9" s="6" t="b">
        <v>1</v>
      </c>
      <c r="F9" s="1" t="s">
        <v>27</v>
      </c>
      <c r="G9" s="123"/>
      <c r="H9" s="23"/>
      <c r="I9" s="22"/>
      <c r="J9" s="1"/>
      <c r="K9" s="23"/>
    </row>
    <row r="10" spans="1:11" hidden="1">
      <c r="A10" s="5" t="b">
        <v>1</v>
      </c>
      <c r="B10" s="6" t="s">
        <v>28</v>
      </c>
      <c r="C10" s="6"/>
      <c r="D10" s="6" t="b">
        <v>0</v>
      </c>
      <c r="E10" s="6" t="b">
        <v>1</v>
      </c>
      <c r="F10" s="1" t="s">
        <v>29</v>
      </c>
      <c r="G10" s="123" t="s">
        <v>30</v>
      </c>
      <c r="H10" s="23"/>
      <c r="I10" s="22"/>
      <c r="J10" s="1"/>
      <c r="K10" s="23"/>
    </row>
    <row r="11" spans="1:11" hidden="1">
      <c r="A11" s="3"/>
      <c r="B11" s="4" t="s">
        <v>31</v>
      </c>
      <c r="C11" s="4"/>
      <c r="D11" s="4" t="b">
        <v>0</v>
      </c>
      <c r="E11" s="4" t="b">
        <v>1</v>
      </c>
      <c r="F11" s="7" t="s">
        <v>32</v>
      </c>
      <c r="G11" s="124"/>
      <c r="H11" s="7"/>
      <c r="I11" s="7"/>
      <c r="J11" s="7"/>
      <c r="K11" s="7"/>
    </row>
    <row r="12" spans="1:11" ht="29">
      <c r="A12" s="5" t="b">
        <v>0</v>
      </c>
      <c r="B12" s="6" t="s">
        <v>35</v>
      </c>
      <c r="C12" s="6"/>
      <c r="D12" s="6" t="b">
        <v>0</v>
      </c>
      <c r="E12" s="6" t="b">
        <v>1</v>
      </c>
      <c r="F12" s="155" t="s">
        <v>1666</v>
      </c>
      <c r="G12" s="191" t="s">
        <v>1667</v>
      </c>
      <c r="H12" s="38" t="s">
        <v>1668</v>
      </c>
      <c r="I12" s="1" t="s">
        <v>1129</v>
      </c>
      <c r="J12" s="41" t="s">
        <v>127</v>
      </c>
      <c r="K12" s="23"/>
    </row>
    <row r="13" spans="1:11" ht="29">
      <c r="A13" s="5"/>
      <c r="B13" s="6"/>
      <c r="C13" s="6"/>
      <c r="D13" s="6"/>
      <c r="E13" s="6"/>
      <c r="F13" s="155" t="s">
        <v>1669</v>
      </c>
      <c r="G13" s="192" t="s">
        <v>1670</v>
      </c>
      <c r="H13" s="38" t="s">
        <v>1671</v>
      </c>
      <c r="I13" s="1" t="s">
        <v>1129</v>
      </c>
      <c r="J13" s="41" t="s">
        <v>127</v>
      </c>
      <c r="K13" s="23"/>
    </row>
    <row r="14" spans="1:11" ht="29">
      <c r="A14" s="5"/>
      <c r="B14" s="6"/>
      <c r="C14" s="6"/>
      <c r="D14" s="6"/>
      <c r="E14" s="6"/>
      <c r="F14" s="155" t="s">
        <v>1672</v>
      </c>
      <c r="G14" s="192" t="s">
        <v>1673</v>
      </c>
      <c r="H14" s="38" t="s">
        <v>1674</v>
      </c>
      <c r="I14" s="1" t="s">
        <v>1129</v>
      </c>
      <c r="J14" s="41" t="s">
        <v>127</v>
      </c>
      <c r="K14" s="23"/>
    </row>
    <row r="15" spans="1:11" ht="29">
      <c r="A15" s="5"/>
      <c r="B15" s="6"/>
      <c r="C15" s="6"/>
      <c r="D15" s="6"/>
      <c r="E15" s="6"/>
      <c r="F15" s="155" t="s">
        <v>1675</v>
      </c>
      <c r="G15" s="192" t="s">
        <v>1676</v>
      </c>
      <c r="H15" s="38" t="s">
        <v>1677</v>
      </c>
      <c r="I15" s="1" t="s">
        <v>1129</v>
      </c>
      <c r="J15" s="41" t="s">
        <v>127</v>
      </c>
      <c r="K15" s="23"/>
    </row>
    <row r="16" spans="1:11">
      <c r="A16" s="5"/>
      <c r="B16" s="6"/>
      <c r="C16" s="6"/>
      <c r="D16" s="6"/>
      <c r="E16" s="6"/>
      <c r="F16" s="155" t="s">
        <v>1678</v>
      </c>
      <c r="G16" s="192" t="s">
        <v>1679</v>
      </c>
      <c r="H16" s="38" t="s">
        <v>1680</v>
      </c>
      <c r="I16" s="1" t="s">
        <v>1129</v>
      </c>
      <c r="J16" s="41" t="s">
        <v>127</v>
      </c>
      <c r="K16" s="23"/>
    </row>
    <row r="17" spans="1:11" ht="29">
      <c r="A17" s="5"/>
      <c r="B17" s="6"/>
      <c r="C17" s="6"/>
      <c r="D17" s="6"/>
      <c r="E17" s="6"/>
      <c r="F17" s="155" t="s">
        <v>1681</v>
      </c>
      <c r="G17" s="192" t="s">
        <v>1682</v>
      </c>
      <c r="H17" s="38"/>
      <c r="I17" s="1" t="s">
        <v>1129</v>
      </c>
      <c r="J17" s="41" t="s">
        <v>127</v>
      </c>
      <c r="K17" s="23"/>
    </row>
    <row r="18" spans="1:11" ht="29">
      <c r="A18" s="5" t="b">
        <v>0</v>
      </c>
      <c r="B18" s="6" t="s">
        <v>35</v>
      </c>
      <c r="C18" s="6"/>
      <c r="D18" s="6" t="b">
        <v>0</v>
      </c>
      <c r="E18" s="6" t="b">
        <v>1</v>
      </c>
      <c r="F18" s="156" t="s">
        <v>1683</v>
      </c>
      <c r="G18" s="192" t="s">
        <v>1684</v>
      </c>
      <c r="H18" s="38" t="s">
        <v>1685</v>
      </c>
      <c r="I18" s="1" t="s">
        <v>1129</v>
      </c>
      <c r="J18" s="41" t="s">
        <v>127</v>
      </c>
      <c r="K18" s="23"/>
    </row>
    <row r="19" spans="1:11" ht="29">
      <c r="A19" s="5" t="b">
        <v>0</v>
      </c>
      <c r="B19" s="6" t="s">
        <v>35</v>
      </c>
      <c r="C19" s="6"/>
      <c r="D19" s="6" t="b">
        <v>0</v>
      </c>
      <c r="E19" s="6" t="b">
        <v>1</v>
      </c>
      <c r="F19" s="155" t="s">
        <v>1327</v>
      </c>
      <c r="G19" s="192" t="s">
        <v>1686</v>
      </c>
      <c r="H19" s="35" t="s">
        <v>1687</v>
      </c>
      <c r="I19" s="1" t="s">
        <v>1129</v>
      </c>
      <c r="J19" s="41" t="s">
        <v>127</v>
      </c>
      <c r="K19" s="23"/>
    </row>
    <row r="20" spans="1:11" ht="29">
      <c r="A20" s="5" t="b">
        <v>0</v>
      </c>
      <c r="B20" s="6" t="s">
        <v>35</v>
      </c>
      <c r="C20" s="6"/>
      <c r="D20" s="6" t="b">
        <v>0</v>
      </c>
      <c r="E20" s="6" t="b">
        <v>1</v>
      </c>
      <c r="F20" s="155" t="s">
        <v>1688</v>
      </c>
      <c r="G20" s="192" t="s">
        <v>1689</v>
      </c>
      <c r="H20" s="35" t="s">
        <v>1690</v>
      </c>
      <c r="I20" s="1" t="s">
        <v>1129</v>
      </c>
      <c r="J20" s="41" t="s">
        <v>127</v>
      </c>
      <c r="K20" s="23"/>
    </row>
    <row r="21" spans="1:11" ht="29">
      <c r="A21" s="5" t="b">
        <v>0</v>
      </c>
      <c r="B21" s="6" t="s">
        <v>35</v>
      </c>
      <c r="C21" s="6"/>
      <c r="D21" s="6" t="b">
        <v>0</v>
      </c>
      <c r="E21" s="6" t="b">
        <v>1</v>
      </c>
      <c r="F21" s="155" t="s">
        <v>1691</v>
      </c>
      <c r="G21" s="192" t="s">
        <v>1692</v>
      </c>
      <c r="H21" s="35" t="s">
        <v>1693</v>
      </c>
      <c r="I21" s="1" t="s">
        <v>1129</v>
      </c>
      <c r="J21" s="41" t="s">
        <v>127</v>
      </c>
      <c r="K21" s="23"/>
    </row>
    <row r="22" spans="1:11" ht="29">
      <c r="A22" s="5" t="b">
        <v>0</v>
      </c>
      <c r="B22" s="6" t="s">
        <v>35</v>
      </c>
      <c r="C22" s="6"/>
      <c r="D22" s="6" t="b">
        <v>0</v>
      </c>
      <c r="E22" s="6" t="b">
        <v>1</v>
      </c>
      <c r="F22" s="156" t="s">
        <v>1694</v>
      </c>
      <c r="G22" s="192" t="s">
        <v>1695</v>
      </c>
      <c r="H22" s="38" t="s">
        <v>1696</v>
      </c>
      <c r="I22" s="1" t="s">
        <v>1129</v>
      </c>
      <c r="J22" s="41" t="s">
        <v>127</v>
      </c>
      <c r="K22" s="23"/>
    </row>
    <row r="23" spans="1:11">
      <c r="A23" s="5" t="b">
        <v>0</v>
      </c>
      <c r="B23" s="6" t="s">
        <v>35</v>
      </c>
      <c r="C23" s="6"/>
      <c r="D23" s="6" t="b">
        <v>0</v>
      </c>
      <c r="E23" s="6" t="b">
        <v>1</v>
      </c>
      <c r="F23" s="155" t="s">
        <v>1697</v>
      </c>
      <c r="G23" s="192" t="s">
        <v>1698</v>
      </c>
      <c r="H23" s="35" t="s">
        <v>1698</v>
      </c>
      <c r="I23" s="1" t="s">
        <v>1129</v>
      </c>
      <c r="J23" s="41" t="s">
        <v>127</v>
      </c>
      <c r="K23" s="23"/>
    </row>
    <row r="24" spans="1:11" ht="29">
      <c r="A24" s="5" t="b">
        <v>0</v>
      </c>
      <c r="B24" s="6" t="s">
        <v>35</v>
      </c>
      <c r="C24" s="6"/>
      <c r="D24" s="6" t="b">
        <v>0</v>
      </c>
      <c r="E24" s="6" t="b">
        <v>1</v>
      </c>
      <c r="F24" s="157" t="s">
        <v>1699</v>
      </c>
      <c r="G24" s="192" t="s">
        <v>1700</v>
      </c>
      <c r="H24" s="35" t="s">
        <v>1701</v>
      </c>
      <c r="I24" s="1" t="s">
        <v>1129</v>
      </c>
      <c r="J24" s="41" t="s">
        <v>127</v>
      </c>
      <c r="K24" s="23"/>
    </row>
    <row r="25" spans="1:11">
      <c r="A25" s="5" t="b">
        <v>0</v>
      </c>
      <c r="B25" s="6" t="s">
        <v>35</v>
      </c>
      <c r="C25" s="6"/>
      <c r="D25" s="6" t="b">
        <v>0</v>
      </c>
      <c r="E25" s="6" t="b">
        <v>1</v>
      </c>
      <c r="F25" s="24"/>
      <c r="G25" s="44"/>
      <c r="H25" s="35"/>
      <c r="I25" s="1" t="s">
        <v>1129</v>
      </c>
      <c r="J25" s="41" t="s">
        <v>20</v>
      </c>
      <c r="K25" s="23"/>
    </row>
    <row r="26" spans="1:11">
      <c r="A26" s="5" t="b">
        <v>0</v>
      </c>
      <c r="B26" s="6" t="s">
        <v>35</v>
      </c>
      <c r="C26" s="6"/>
      <c r="D26" s="6" t="b">
        <v>0</v>
      </c>
      <c r="E26" s="6" t="b">
        <v>1</v>
      </c>
      <c r="F26" s="22"/>
      <c r="G26" s="125"/>
      <c r="H26" s="35"/>
      <c r="I26" s="1" t="s">
        <v>1129</v>
      </c>
      <c r="J26" s="41" t="s">
        <v>20</v>
      </c>
      <c r="K26" s="23"/>
    </row>
    <row r="27" spans="1:11">
      <c r="A27" s="5" t="b">
        <v>0</v>
      </c>
      <c r="B27" s="6" t="s">
        <v>35</v>
      </c>
      <c r="C27" s="6"/>
      <c r="D27" s="6" t="b">
        <v>0</v>
      </c>
      <c r="E27" s="6" t="b">
        <v>1</v>
      </c>
      <c r="F27" s="24"/>
      <c r="G27" s="126"/>
      <c r="H27" s="38"/>
      <c r="I27" s="1" t="s">
        <v>1129</v>
      </c>
      <c r="J27" s="41" t="s">
        <v>20</v>
      </c>
      <c r="K27" s="23"/>
    </row>
    <row r="28" spans="1:11">
      <c r="A28" s="5" t="b">
        <v>0</v>
      </c>
      <c r="B28" s="6" t="s">
        <v>35</v>
      </c>
      <c r="C28" s="6"/>
      <c r="D28" s="6" t="b">
        <v>0</v>
      </c>
      <c r="E28" s="6" t="b">
        <v>1</v>
      </c>
      <c r="F28" s="24"/>
      <c r="G28" s="127"/>
      <c r="H28" s="31"/>
      <c r="I28" s="1" t="s">
        <v>1129</v>
      </c>
      <c r="J28" s="41" t="s">
        <v>20</v>
      </c>
      <c r="K28" s="23"/>
    </row>
    <row r="29" spans="1:11">
      <c r="A29" s="5" t="b">
        <v>0</v>
      </c>
      <c r="B29" s="6" t="s">
        <v>35</v>
      </c>
      <c r="C29" s="6"/>
      <c r="D29" s="6" t="b">
        <v>0</v>
      </c>
      <c r="E29" s="6" t="b">
        <v>1</v>
      </c>
      <c r="F29" s="24"/>
      <c r="G29" s="126"/>
      <c r="H29" s="38"/>
      <c r="I29" s="1" t="s">
        <v>1129</v>
      </c>
      <c r="J29" s="41" t="s">
        <v>20</v>
      </c>
      <c r="K29" s="23"/>
    </row>
    <row r="30" spans="1:11">
      <c r="A30" s="5" t="b">
        <v>0</v>
      </c>
      <c r="B30" s="6" t="s">
        <v>35</v>
      </c>
      <c r="C30" s="6"/>
      <c r="D30" s="6" t="b">
        <v>0</v>
      </c>
      <c r="E30" s="6" t="b">
        <v>1</v>
      </c>
      <c r="F30" s="25"/>
      <c r="G30" s="125"/>
      <c r="H30" s="35"/>
      <c r="I30" s="1" t="s">
        <v>1129</v>
      </c>
      <c r="J30" s="41" t="s">
        <v>20</v>
      </c>
      <c r="K30" s="23"/>
    </row>
    <row r="31" spans="1:11">
      <c r="A31" s="5" t="b">
        <v>0</v>
      </c>
      <c r="B31" s="6" t="s">
        <v>35</v>
      </c>
      <c r="C31" s="6"/>
      <c r="D31" s="6" t="b">
        <v>0</v>
      </c>
      <c r="E31" s="6" t="b">
        <v>1</v>
      </c>
      <c r="F31" s="24"/>
      <c r="G31" s="128"/>
      <c r="H31" s="38"/>
      <c r="I31" s="1" t="s">
        <v>1129</v>
      </c>
      <c r="J31" s="41" t="s">
        <v>20</v>
      </c>
      <c r="K31" s="23"/>
    </row>
    <row r="32" spans="1:11">
      <c r="A32" s="5" t="b">
        <v>0</v>
      </c>
      <c r="B32" s="6" t="s">
        <v>35</v>
      </c>
      <c r="C32" s="6"/>
      <c r="D32" s="6" t="b">
        <v>0</v>
      </c>
      <c r="E32" s="6" t="b">
        <v>1</v>
      </c>
      <c r="F32" s="25"/>
      <c r="G32" s="128"/>
      <c r="H32" s="35"/>
      <c r="I32" s="1" t="s">
        <v>1129</v>
      </c>
      <c r="J32" s="41" t="s">
        <v>20</v>
      </c>
      <c r="K32" s="23"/>
    </row>
    <row r="33" spans="1:11">
      <c r="A33" s="5" t="b">
        <v>0</v>
      </c>
      <c r="B33" s="6" t="s">
        <v>35</v>
      </c>
      <c r="C33" s="6"/>
      <c r="D33" s="6" t="b">
        <v>0</v>
      </c>
      <c r="E33" s="6" t="b">
        <v>1</v>
      </c>
      <c r="F33" s="25"/>
      <c r="G33" s="125"/>
      <c r="H33" s="35"/>
      <c r="I33" s="1" t="s">
        <v>1129</v>
      </c>
      <c r="J33" s="41" t="s">
        <v>20</v>
      </c>
      <c r="K33" s="23"/>
    </row>
    <row r="34" spans="1:11">
      <c r="A34" s="5" t="b">
        <v>0</v>
      </c>
      <c r="B34" s="6" t="s">
        <v>35</v>
      </c>
      <c r="C34" s="6"/>
      <c r="D34" s="6" t="b">
        <v>0</v>
      </c>
      <c r="E34" s="6" t="b">
        <v>1</v>
      </c>
      <c r="F34" s="25"/>
      <c r="G34" s="125"/>
      <c r="H34" s="35"/>
      <c r="I34" s="1" t="s">
        <v>1129</v>
      </c>
      <c r="J34" s="41" t="s">
        <v>20</v>
      </c>
      <c r="K34" s="23"/>
    </row>
    <row r="35" spans="1:11">
      <c r="A35" s="5" t="b">
        <v>0</v>
      </c>
      <c r="B35" s="6" t="s">
        <v>35</v>
      </c>
      <c r="C35" s="6"/>
      <c r="D35" s="6" t="b">
        <v>0</v>
      </c>
      <c r="E35" s="6" t="b">
        <v>1</v>
      </c>
      <c r="F35" s="25"/>
      <c r="G35" s="129"/>
      <c r="H35" s="39"/>
      <c r="I35" s="1" t="s">
        <v>1129</v>
      </c>
      <c r="J35" s="41" t="s">
        <v>20</v>
      </c>
      <c r="K35" s="23"/>
    </row>
    <row r="36" spans="1:11">
      <c r="A36" s="7" t="b">
        <v>0</v>
      </c>
      <c r="B36" s="7" t="s">
        <v>35</v>
      </c>
      <c r="C36" s="7"/>
      <c r="D36" s="7"/>
      <c r="E36" s="7"/>
      <c r="F36" s="7" t="s">
        <v>37</v>
      </c>
      <c r="G36" s="7"/>
      <c r="H36" s="4"/>
      <c r="I36" s="4"/>
      <c r="J36" s="4"/>
      <c r="K36" s="4"/>
    </row>
    <row r="37" spans="1:11" ht="29">
      <c r="A37" s="5" t="b">
        <v>0</v>
      </c>
      <c r="B37" s="6" t="s">
        <v>38</v>
      </c>
      <c r="C37" s="6"/>
      <c r="D37" s="6" t="b">
        <v>0</v>
      </c>
      <c r="E37" s="6" t="b">
        <v>1</v>
      </c>
      <c r="F37" s="1"/>
      <c r="G37" s="94"/>
      <c r="H37" s="35" t="s">
        <v>1702</v>
      </c>
      <c r="I37" s="1" t="s">
        <v>1129</v>
      </c>
      <c r="J37" s="41" t="s">
        <v>20</v>
      </c>
      <c r="K37" s="82" t="s">
        <v>161</v>
      </c>
    </row>
  </sheetData>
  <conditionalFormatting sqref="J6 J12:J35">
    <cfRule type="cellIs" dxfId="3" priority="3" operator="equal">
      <formula>"Y"</formula>
    </cfRule>
  </conditionalFormatting>
  <conditionalFormatting sqref="J37">
    <cfRule type="cellIs" dxfId="2" priority="1" operator="equal">
      <formula>"Y"</formula>
    </cfRule>
  </conditionalFormatting>
  <dataValidations count="3">
    <dataValidation type="list" allowBlank="1" showInputMessage="1" showErrorMessage="1" sqref="C2:E2 G2" xr:uid="{00000000-0002-0000-0E00-000000000000}">
      <formula1>SectionNames</formula1>
    </dataValidation>
    <dataValidation type="list" allowBlank="1" showInputMessage="1" showErrorMessage="1" sqref="G10" xr:uid="{00000000-0002-0000-0E00-000001000000}">
      <formula1>"None,Numbered,Bullets"</formula1>
    </dataValidation>
    <dataValidation type="list" allowBlank="1" showInputMessage="1" showErrorMessage="1" sqref="G7" xr:uid="{00000000-0002-0000-0E00-000002000000}">
      <formula1>TableTypeNames</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theme="1"/>
  </sheetPr>
  <dimension ref="A1:I40"/>
  <sheetViews>
    <sheetView topLeftCell="C1" zoomScaleNormal="100" workbookViewId="0">
      <selection activeCell="C35" sqref="C35:D40"/>
    </sheetView>
  </sheetViews>
  <sheetFormatPr defaultRowHeight="14.5"/>
  <cols>
    <col min="1" max="2" width="12.453125" hidden="1" customWidth="1"/>
    <col min="3" max="3" width="21" customWidth="1"/>
    <col min="4" max="4" width="78.7265625" customWidth="1"/>
    <col min="5" max="5" width="29.453125" customWidth="1"/>
    <col min="6" max="6" width="12.453125" customWidth="1"/>
  </cols>
  <sheetData>
    <row r="1" spans="1:9">
      <c r="A1" s="18"/>
      <c r="B1" s="18"/>
      <c r="C1" s="8" t="s">
        <v>1</v>
      </c>
      <c r="D1" s="454" t="str">
        <f>IF(Metadata!B1="","No series name entered",Metadata!B1)</f>
        <v>HP EliteBook 865 164 inch G10 Notebook PC</v>
      </c>
      <c r="E1" s="454"/>
    </row>
    <row r="2" spans="1:9">
      <c r="C2" s="12" t="s">
        <v>2</v>
      </c>
      <c r="D2" s="272" t="s">
        <v>3</v>
      </c>
      <c r="E2" s="272"/>
    </row>
    <row r="3" spans="1:9">
      <c r="C3" s="12" t="s">
        <v>43</v>
      </c>
      <c r="D3" s="1" t="s">
        <v>1664</v>
      </c>
    </row>
    <row r="4" spans="1:9" ht="43.5">
      <c r="A4" s="8" t="s">
        <v>1703</v>
      </c>
      <c r="B4" s="8" t="s">
        <v>114</v>
      </c>
      <c r="C4" s="161" t="s">
        <v>45</v>
      </c>
      <c r="D4" s="273"/>
      <c r="E4" s="273"/>
      <c r="F4" s="161"/>
      <c r="G4" s="161"/>
      <c r="H4" s="161"/>
      <c r="I4" s="161"/>
    </row>
    <row r="5" spans="1:9">
      <c r="A5" s="10" t="b">
        <v>0</v>
      </c>
      <c r="B5" s="10" t="b">
        <v>1</v>
      </c>
      <c r="C5" s="162" t="s">
        <v>46</v>
      </c>
      <c r="D5" s="274" t="s">
        <v>1704</v>
      </c>
      <c r="E5" s="274"/>
      <c r="F5" s="162"/>
      <c r="G5" s="162"/>
      <c r="H5" s="162"/>
      <c r="I5" s="162"/>
    </row>
    <row r="6" spans="1:9" ht="43.5">
      <c r="A6" s="21" t="b">
        <v>0</v>
      </c>
      <c r="B6" s="21" t="b">
        <v>1</v>
      </c>
      <c r="C6" s="16"/>
      <c r="D6" s="16"/>
      <c r="E6" s="16"/>
      <c r="F6" s="16"/>
      <c r="G6" s="16" t="s">
        <v>12</v>
      </c>
      <c r="H6" s="29" t="s">
        <v>1705</v>
      </c>
      <c r="I6" s="29" t="s">
        <v>14</v>
      </c>
    </row>
    <row r="7" spans="1:9" ht="92.25" customHeight="1">
      <c r="A7" s="6" t="b">
        <v>0</v>
      </c>
      <c r="B7" s="6" t="b">
        <v>1</v>
      </c>
      <c r="C7" s="74" t="s">
        <v>1706</v>
      </c>
      <c r="D7" s="460" t="s">
        <v>1707</v>
      </c>
      <c r="E7" s="461"/>
      <c r="F7" s="462"/>
      <c r="G7" s="1" t="s">
        <v>1708</v>
      </c>
      <c r="H7" s="41" t="s">
        <v>20</v>
      </c>
      <c r="I7" s="75"/>
    </row>
    <row r="8" spans="1:9" ht="111" customHeight="1">
      <c r="A8" s="6"/>
      <c r="B8" s="6"/>
      <c r="C8" s="74" t="s">
        <v>1709</v>
      </c>
      <c r="D8" s="164" t="s">
        <v>1710</v>
      </c>
      <c r="E8" s="165"/>
      <c r="F8" s="166"/>
      <c r="G8" s="1"/>
      <c r="H8" s="41"/>
      <c r="I8" s="75"/>
    </row>
    <row r="9" spans="1:9" ht="28.5" customHeight="1">
      <c r="A9" s="6" t="b">
        <v>0</v>
      </c>
      <c r="B9" s="6" t="b">
        <v>1</v>
      </c>
      <c r="C9" s="74" t="s">
        <v>1711</v>
      </c>
      <c r="D9" s="460" t="s">
        <v>1712</v>
      </c>
      <c r="E9" s="461"/>
      <c r="F9" s="462"/>
      <c r="G9" s="1" t="s">
        <v>1708</v>
      </c>
      <c r="H9" s="41" t="s">
        <v>20</v>
      </c>
      <c r="I9" s="75"/>
    </row>
    <row r="10" spans="1:9" ht="58">
      <c r="A10" s="6" t="b">
        <v>0</v>
      </c>
      <c r="B10" s="6" t="b">
        <v>1</v>
      </c>
      <c r="C10" s="74" t="s">
        <v>1713</v>
      </c>
      <c r="D10" s="76" t="s">
        <v>1714</v>
      </c>
      <c r="E10" s="76" t="s">
        <v>1715</v>
      </c>
      <c r="F10" s="76" t="s">
        <v>1716</v>
      </c>
      <c r="G10" s="1" t="s">
        <v>1708</v>
      </c>
      <c r="H10" s="41" t="s">
        <v>20</v>
      </c>
      <c r="I10" s="75"/>
    </row>
    <row r="11" spans="1:9" ht="29">
      <c r="A11" s="6" t="b">
        <v>0</v>
      </c>
      <c r="B11" s="6" t="b">
        <v>1</v>
      </c>
      <c r="C11" s="74" t="s">
        <v>1717</v>
      </c>
      <c r="D11" s="77"/>
      <c r="E11" s="77"/>
      <c r="F11" s="77"/>
      <c r="G11" s="1" t="s">
        <v>1708</v>
      </c>
      <c r="H11" s="41" t="s">
        <v>20</v>
      </c>
      <c r="I11" s="75"/>
    </row>
    <row r="12" spans="1:9" ht="29">
      <c r="A12" s="6" t="b">
        <v>0</v>
      </c>
      <c r="B12" s="6" t="b">
        <v>1</v>
      </c>
      <c r="C12" s="74" t="s">
        <v>1718</v>
      </c>
      <c r="D12" s="77"/>
      <c r="E12" s="77"/>
      <c r="F12" s="77"/>
      <c r="G12" s="1" t="s">
        <v>1708</v>
      </c>
      <c r="H12" s="41" t="s">
        <v>20</v>
      </c>
      <c r="I12" s="75"/>
    </row>
    <row r="13" spans="1:9">
      <c r="A13" s="6" t="b">
        <v>0</v>
      </c>
      <c r="B13" s="6" t="b">
        <v>1</v>
      </c>
      <c r="C13" s="74" t="s">
        <v>1719</v>
      </c>
      <c r="D13" s="77"/>
      <c r="E13" s="77"/>
      <c r="F13" s="77"/>
      <c r="G13" s="1" t="s">
        <v>1708</v>
      </c>
      <c r="H13" s="41" t="s">
        <v>20</v>
      </c>
      <c r="I13" s="75"/>
    </row>
    <row r="14" spans="1:9">
      <c r="A14" s="6" t="b">
        <v>0</v>
      </c>
      <c r="B14" s="6" t="b">
        <v>1</v>
      </c>
      <c r="C14" s="74" t="s">
        <v>1720</v>
      </c>
      <c r="D14" s="77"/>
      <c r="E14" s="77"/>
      <c r="F14" s="77"/>
      <c r="G14" s="1" t="s">
        <v>1708</v>
      </c>
      <c r="H14" s="41" t="s">
        <v>20</v>
      </c>
      <c r="I14" s="75"/>
    </row>
    <row r="15" spans="1:9" ht="84.75" customHeight="1">
      <c r="A15" s="6" t="b">
        <v>0</v>
      </c>
      <c r="B15" s="6" t="b">
        <v>1</v>
      </c>
      <c r="C15" s="74" t="s">
        <v>1721</v>
      </c>
      <c r="D15" s="460" t="s">
        <v>1722</v>
      </c>
      <c r="E15" s="461"/>
      <c r="F15" s="462"/>
      <c r="G15" s="1" t="s">
        <v>1708</v>
      </c>
      <c r="H15" s="41" t="s">
        <v>20</v>
      </c>
      <c r="I15" s="75"/>
    </row>
    <row r="16" spans="1:9">
      <c r="A16" s="6" t="b">
        <v>0</v>
      </c>
      <c r="B16" s="6" t="b">
        <v>1</v>
      </c>
      <c r="C16" s="74" t="s">
        <v>1723</v>
      </c>
      <c r="D16" s="76" t="s">
        <v>1714</v>
      </c>
      <c r="E16" s="76" t="s">
        <v>1715</v>
      </c>
      <c r="F16" s="76" t="s">
        <v>1716</v>
      </c>
      <c r="G16" s="1" t="s">
        <v>1708</v>
      </c>
      <c r="H16" s="41" t="s">
        <v>20</v>
      </c>
      <c r="I16" s="75"/>
    </row>
    <row r="17" spans="1:9" ht="29">
      <c r="A17" s="6" t="b">
        <v>0</v>
      </c>
      <c r="B17" s="6" t="b">
        <v>1</v>
      </c>
      <c r="C17" s="74" t="s">
        <v>1717</v>
      </c>
      <c r="D17" s="77"/>
      <c r="E17" s="77"/>
      <c r="F17" s="77"/>
      <c r="G17" s="1" t="s">
        <v>1708</v>
      </c>
      <c r="H17" s="41" t="s">
        <v>20</v>
      </c>
      <c r="I17" s="75"/>
    </row>
    <row r="18" spans="1:9" ht="29">
      <c r="A18" s="6" t="b">
        <v>0</v>
      </c>
      <c r="B18" s="6" t="b">
        <v>1</v>
      </c>
      <c r="C18" s="74" t="s">
        <v>1718</v>
      </c>
      <c r="D18" s="77"/>
      <c r="E18" s="77"/>
      <c r="F18" s="77"/>
      <c r="G18" s="1" t="s">
        <v>1708</v>
      </c>
      <c r="H18" s="41" t="s">
        <v>20</v>
      </c>
      <c r="I18" s="75"/>
    </row>
    <row r="19" spans="1:9">
      <c r="A19" s="6" t="b">
        <v>0</v>
      </c>
      <c r="B19" s="6" t="b">
        <v>1</v>
      </c>
      <c r="C19" s="74" t="s">
        <v>1719</v>
      </c>
      <c r="D19" s="77"/>
      <c r="E19" s="77"/>
      <c r="F19" s="77"/>
      <c r="G19" s="1" t="s">
        <v>1708</v>
      </c>
      <c r="H19" s="41" t="s">
        <v>20</v>
      </c>
      <c r="I19" s="75"/>
    </row>
    <row r="20" spans="1:9">
      <c r="A20" s="6" t="b">
        <v>0</v>
      </c>
      <c r="B20" s="6" t="b">
        <v>1</v>
      </c>
      <c r="C20" s="74" t="s">
        <v>1720</v>
      </c>
      <c r="D20" s="77"/>
      <c r="E20" s="77"/>
      <c r="F20" s="77"/>
      <c r="G20" s="1" t="s">
        <v>1708</v>
      </c>
      <c r="H20" s="41" t="s">
        <v>20</v>
      </c>
      <c r="I20" s="75"/>
    </row>
    <row r="21" spans="1:9">
      <c r="A21" s="6" t="b">
        <v>0</v>
      </c>
      <c r="B21" s="6" t="b">
        <v>1</v>
      </c>
      <c r="C21" s="74" t="s">
        <v>1724</v>
      </c>
      <c r="D21" s="460" t="s">
        <v>1725</v>
      </c>
      <c r="E21" s="461"/>
      <c r="F21" s="462"/>
      <c r="G21" s="1" t="s">
        <v>1708</v>
      </c>
      <c r="H21" s="41" t="s">
        <v>20</v>
      </c>
      <c r="I21" s="75"/>
    </row>
    <row r="22" spans="1:9" ht="58">
      <c r="A22" s="6" t="b">
        <v>0</v>
      </c>
      <c r="B22" s="6" t="b">
        <v>1</v>
      </c>
      <c r="C22" s="74" t="s">
        <v>1726</v>
      </c>
      <c r="D22" s="78" t="s">
        <v>1727</v>
      </c>
      <c r="E22" s="78" t="s">
        <v>1728</v>
      </c>
      <c r="F22" s="79"/>
      <c r="G22" s="1" t="s">
        <v>1708</v>
      </c>
      <c r="H22" s="41" t="s">
        <v>20</v>
      </c>
      <c r="I22" s="75"/>
    </row>
    <row r="23" spans="1:9" ht="29">
      <c r="A23" s="6" t="b">
        <v>0</v>
      </c>
      <c r="B23" s="6" t="b">
        <v>1</v>
      </c>
      <c r="C23" s="74" t="s">
        <v>1729</v>
      </c>
      <c r="D23" s="77"/>
      <c r="E23" s="77"/>
      <c r="F23" s="40"/>
      <c r="G23" s="1" t="s">
        <v>1708</v>
      </c>
      <c r="H23" s="41" t="s">
        <v>20</v>
      </c>
      <c r="I23" s="75"/>
    </row>
    <row r="24" spans="1:9" ht="29">
      <c r="A24" s="6" t="b">
        <v>0</v>
      </c>
      <c r="B24" s="6" t="b">
        <v>1</v>
      </c>
      <c r="C24" s="74" t="s">
        <v>1730</v>
      </c>
      <c r="D24" s="77"/>
      <c r="E24" s="77"/>
      <c r="F24" s="40"/>
      <c r="G24" s="1" t="s">
        <v>1708</v>
      </c>
      <c r="H24" s="41" t="s">
        <v>20</v>
      </c>
      <c r="I24" s="75"/>
    </row>
    <row r="25" spans="1:9" ht="29">
      <c r="A25" s="6" t="b">
        <v>0</v>
      </c>
      <c r="B25" s="6" t="b">
        <v>1</v>
      </c>
      <c r="C25" s="74" t="s">
        <v>1731</v>
      </c>
      <c r="D25" s="463" t="s">
        <v>1732</v>
      </c>
      <c r="E25" s="464"/>
      <c r="F25" s="465"/>
      <c r="G25" s="1" t="s">
        <v>1708</v>
      </c>
      <c r="H25" s="41" t="s">
        <v>20</v>
      </c>
      <c r="I25" s="75"/>
    </row>
    <row r="26" spans="1:9">
      <c r="A26" s="6" t="b">
        <v>0</v>
      </c>
      <c r="B26" s="6" t="b">
        <v>1</v>
      </c>
      <c r="C26" s="74" t="s">
        <v>1733</v>
      </c>
      <c r="D26" s="455" t="s">
        <v>1734</v>
      </c>
      <c r="E26" s="456"/>
      <c r="F26" s="457"/>
      <c r="G26" s="1" t="s">
        <v>1708</v>
      </c>
      <c r="H26" s="41" t="s">
        <v>20</v>
      </c>
      <c r="I26" s="75"/>
    </row>
    <row r="27" spans="1:9" ht="138" customHeight="1">
      <c r="A27" s="6" t="b">
        <v>0</v>
      </c>
      <c r="B27" s="6" t="b">
        <v>1</v>
      </c>
      <c r="C27" s="74" t="s">
        <v>1735</v>
      </c>
      <c r="D27" s="455" t="s">
        <v>1736</v>
      </c>
      <c r="E27" s="456"/>
      <c r="F27" s="457"/>
      <c r="G27" s="1" t="s">
        <v>1708</v>
      </c>
      <c r="H27" s="41" t="s">
        <v>20</v>
      </c>
      <c r="I27" s="75"/>
    </row>
    <row r="28" spans="1:9">
      <c r="A28" s="6" t="b">
        <v>0</v>
      </c>
      <c r="B28" s="6" t="b">
        <v>1</v>
      </c>
      <c r="C28" s="74" t="s">
        <v>1737</v>
      </c>
      <c r="D28" s="79" t="s">
        <v>1738</v>
      </c>
      <c r="E28" s="79" t="s">
        <v>1739</v>
      </c>
      <c r="F28" s="80"/>
      <c r="G28" s="1" t="s">
        <v>1708</v>
      </c>
      <c r="H28" s="41" t="s">
        <v>20</v>
      </c>
      <c r="I28" s="75"/>
    </row>
    <row r="29" spans="1:9">
      <c r="A29" s="6" t="b">
        <v>0</v>
      </c>
      <c r="B29" s="6" t="b">
        <v>1</v>
      </c>
      <c r="C29" s="74"/>
      <c r="D29" s="79" t="s">
        <v>1740</v>
      </c>
      <c r="E29" s="79" t="s">
        <v>1741</v>
      </c>
      <c r="F29" s="80"/>
      <c r="G29" s="1" t="s">
        <v>1708</v>
      </c>
      <c r="H29" s="41" t="s">
        <v>20</v>
      </c>
      <c r="I29" s="75"/>
    </row>
    <row r="30" spans="1:9">
      <c r="A30" s="6" t="b">
        <v>0</v>
      </c>
      <c r="B30" s="6" t="b">
        <v>1</v>
      </c>
      <c r="C30" s="74"/>
      <c r="D30" s="79"/>
      <c r="E30" s="79" t="s">
        <v>1742</v>
      </c>
      <c r="F30" s="80"/>
      <c r="G30" s="1" t="s">
        <v>1708</v>
      </c>
      <c r="H30" s="41" t="s">
        <v>20</v>
      </c>
      <c r="I30" s="75"/>
    </row>
    <row r="31" spans="1:9">
      <c r="A31" s="6" t="b">
        <v>0</v>
      </c>
      <c r="B31" s="6" t="b">
        <v>1</v>
      </c>
      <c r="C31" s="74" t="s">
        <v>1743</v>
      </c>
      <c r="D31" s="455" t="s">
        <v>1744</v>
      </c>
      <c r="E31" s="458"/>
      <c r="F31" s="459"/>
      <c r="G31" s="1" t="s">
        <v>1708</v>
      </c>
      <c r="H31" s="41" t="s">
        <v>20</v>
      </c>
      <c r="I31" s="75"/>
    </row>
    <row r="32" spans="1:9">
      <c r="A32" s="6" t="b">
        <v>0</v>
      </c>
      <c r="B32" s="6" t="b">
        <v>1</v>
      </c>
      <c r="C32" s="74" t="s">
        <v>1745</v>
      </c>
      <c r="D32" s="455" t="s">
        <v>1746</v>
      </c>
      <c r="E32" s="456"/>
      <c r="F32" s="457"/>
      <c r="G32" s="1" t="s">
        <v>1708</v>
      </c>
      <c r="H32" s="41" t="s">
        <v>20</v>
      </c>
      <c r="I32" s="75"/>
    </row>
    <row r="33" spans="1:9" ht="128.25" customHeight="1">
      <c r="A33" s="6" t="b">
        <v>0</v>
      </c>
      <c r="B33" s="6" t="b">
        <v>1</v>
      </c>
      <c r="C33" s="74" t="s">
        <v>1747</v>
      </c>
      <c r="D33" s="455" t="s">
        <v>1748</v>
      </c>
      <c r="E33" s="456"/>
      <c r="F33" s="457"/>
      <c r="G33" s="1" t="s">
        <v>1708</v>
      </c>
      <c r="H33" s="41" t="s">
        <v>20</v>
      </c>
      <c r="I33" s="75"/>
    </row>
    <row r="34" spans="1:9" ht="153" customHeight="1">
      <c r="A34" s="6" t="b">
        <v>0</v>
      </c>
      <c r="B34" s="6" t="b">
        <v>1</v>
      </c>
      <c r="C34" s="74" t="s">
        <v>1749</v>
      </c>
      <c r="D34" s="455" t="s">
        <v>1750</v>
      </c>
      <c r="E34" s="456"/>
      <c r="F34" s="457"/>
      <c r="G34" s="1" t="s">
        <v>1708</v>
      </c>
      <c r="H34" s="41" t="s">
        <v>20</v>
      </c>
      <c r="I34" s="75"/>
    </row>
    <row r="35" spans="1:9">
      <c r="C35" s="7" t="s">
        <v>37</v>
      </c>
      <c r="D35" s="7" t="s">
        <v>1751</v>
      </c>
      <c r="E35" s="4"/>
      <c r="F35" s="4"/>
      <c r="G35" s="4"/>
      <c r="H35" s="4"/>
      <c r="I35" s="7"/>
    </row>
    <row r="36" spans="1:9" ht="14.25" customHeight="1">
      <c r="D36" s="7" t="s">
        <v>1000</v>
      </c>
      <c r="E36" s="4"/>
      <c r="F36" s="4"/>
      <c r="G36" s="4"/>
      <c r="H36" s="4"/>
      <c r="I36" s="7"/>
    </row>
    <row r="37" spans="1:9" ht="14.25" customHeight="1">
      <c r="D37" s="7" t="s">
        <v>1752</v>
      </c>
      <c r="E37" s="4"/>
      <c r="F37" s="4"/>
      <c r="G37" s="4"/>
      <c r="H37" s="4"/>
      <c r="I37" s="7"/>
    </row>
    <row r="38" spans="1:9">
      <c r="D38" s="7" t="s">
        <v>1753</v>
      </c>
      <c r="E38" s="4"/>
      <c r="F38" s="4"/>
      <c r="G38" s="4"/>
      <c r="H38" s="4"/>
      <c r="I38" s="7"/>
    </row>
    <row r="39" spans="1:9">
      <c r="D39" s="7" t="s">
        <v>1754</v>
      </c>
    </row>
    <row r="40" spans="1:9">
      <c r="D40" s="7" t="s">
        <v>999</v>
      </c>
    </row>
  </sheetData>
  <mergeCells count="15">
    <mergeCell ref="D1:E1"/>
    <mergeCell ref="D2:E2"/>
    <mergeCell ref="D4:E4"/>
    <mergeCell ref="D5:E5"/>
    <mergeCell ref="D7:F7"/>
    <mergeCell ref="D9:F9"/>
    <mergeCell ref="D15:F15"/>
    <mergeCell ref="D21:F21"/>
    <mergeCell ref="D25:F25"/>
    <mergeCell ref="D26:F26"/>
    <mergeCell ref="D27:F27"/>
    <mergeCell ref="D31:F31"/>
    <mergeCell ref="D32:F32"/>
    <mergeCell ref="D33:F33"/>
    <mergeCell ref="D34:F34"/>
  </mergeCells>
  <phoneticPr fontId="8" type="noConversion"/>
  <conditionalFormatting sqref="H7:H34">
    <cfRule type="cellIs" dxfId="1" priority="1" operator="equal">
      <formula>"Y"</formula>
    </cfRule>
  </conditionalFormatting>
  <dataValidations count="1">
    <dataValidation type="list" allowBlank="1" showInputMessage="1" showErrorMessage="1" sqref="D2 A2:B2" xr:uid="{00000000-0002-0000-0F00-000000000000}">
      <formula1>SectionNames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theme="5"/>
  </sheetPr>
  <dimension ref="A1:J74"/>
  <sheetViews>
    <sheetView topLeftCell="F1" zoomScale="106" zoomScaleNormal="106" workbookViewId="0">
      <selection activeCell="L11" sqref="L11"/>
    </sheetView>
  </sheetViews>
  <sheetFormatPr defaultColWidth="9.1796875" defaultRowHeight="14.5"/>
  <cols>
    <col min="1" max="1" width="18.54296875" style="27" hidden="1" customWidth="1"/>
    <col min="2" max="2" width="21.453125" style="27" hidden="1" customWidth="1"/>
    <col min="3" max="3" width="18.54296875" style="27" hidden="1" customWidth="1"/>
    <col min="4" max="5" width="12.453125" style="27" hidden="1" customWidth="1"/>
    <col min="6" max="6" width="21" style="27" customWidth="1"/>
    <col min="7" max="7" width="64.54296875" style="27" customWidth="1"/>
    <col min="8" max="8" width="29.453125" style="27" customWidth="1"/>
    <col min="9" max="9" width="14" style="27" customWidth="1"/>
    <col min="10" max="10" width="13.453125" style="27" customWidth="1"/>
    <col min="11" max="11" width="14.453125" style="27" customWidth="1"/>
    <col min="12" max="16384" width="9.1796875" style="27"/>
  </cols>
  <sheetData>
    <row r="1" spans="3:10">
      <c r="C1" s="28"/>
      <c r="D1" s="28"/>
      <c r="E1" s="28"/>
      <c r="F1" s="29" t="s">
        <v>1</v>
      </c>
      <c r="G1" s="466" t="str">
        <f>IF(Metadata!B1="","No series name entered",Metadata!B1)</f>
        <v>HP EliteBook 865 164 inch G10 Notebook PC</v>
      </c>
      <c r="H1" s="466"/>
    </row>
    <row r="2" spans="3:10">
      <c r="F2" s="30" t="s">
        <v>2</v>
      </c>
      <c r="G2" s="467" t="s">
        <v>42</v>
      </c>
      <c r="H2" s="467"/>
    </row>
    <row r="3" spans="3:10">
      <c r="F3" s="30" t="s">
        <v>43</v>
      </c>
      <c r="G3" s="33" t="str">
        <f>Metadata!B2</f>
        <v>Lox16</v>
      </c>
    </row>
    <row r="4" spans="3:10">
      <c r="F4" s="161" t="s">
        <v>45</v>
      </c>
      <c r="G4" s="273"/>
      <c r="H4" s="273"/>
      <c r="I4" s="161"/>
      <c r="J4" s="161"/>
    </row>
    <row r="5" spans="3:10">
      <c r="F5" s="162" t="s">
        <v>46</v>
      </c>
      <c r="G5" s="274"/>
      <c r="H5" s="274"/>
      <c r="I5" s="162"/>
      <c r="J5" s="162"/>
    </row>
    <row r="6" spans="3:10" ht="29">
      <c r="F6" s="16" t="s">
        <v>1755</v>
      </c>
      <c r="G6" s="16" t="s">
        <v>1756</v>
      </c>
      <c r="H6" s="16" t="s">
        <v>1757</v>
      </c>
      <c r="I6" s="16" t="s">
        <v>12</v>
      </c>
      <c r="J6" s="29" t="s">
        <v>1705</v>
      </c>
    </row>
    <row r="7" spans="3:10">
      <c r="F7" s="257" t="s">
        <v>549</v>
      </c>
      <c r="G7" s="258" t="s">
        <v>1758</v>
      </c>
      <c r="H7" s="258" t="s">
        <v>1759</v>
      </c>
      <c r="I7" s="259" t="s">
        <v>1760</v>
      </c>
      <c r="J7" s="41" t="s">
        <v>127</v>
      </c>
    </row>
    <row r="8" spans="3:10">
      <c r="F8" s="260" t="s">
        <v>1142</v>
      </c>
      <c r="G8" s="261" t="s">
        <v>1761</v>
      </c>
      <c r="H8" s="261" t="s">
        <v>1762</v>
      </c>
      <c r="I8" s="262" t="s">
        <v>1760</v>
      </c>
      <c r="J8" s="41" t="s">
        <v>127</v>
      </c>
    </row>
    <row r="9" spans="3:10">
      <c r="F9" s="260" t="s">
        <v>1142</v>
      </c>
      <c r="G9" s="261" t="s">
        <v>1763</v>
      </c>
      <c r="H9" s="261" t="s">
        <v>1764</v>
      </c>
      <c r="I9" s="262" t="s">
        <v>1760</v>
      </c>
      <c r="J9" s="41" t="s">
        <v>127</v>
      </c>
    </row>
    <row r="10" spans="3:10">
      <c r="F10" s="260" t="s">
        <v>1765</v>
      </c>
      <c r="G10" s="261" t="s">
        <v>1766</v>
      </c>
      <c r="H10" s="261" t="s">
        <v>1767</v>
      </c>
      <c r="I10" s="262" t="s">
        <v>1760</v>
      </c>
      <c r="J10" s="41" t="s">
        <v>127</v>
      </c>
    </row>
    <row r="11" spans="3:10">
      <c r="F11" s="260" t="s">
        <v>1142</v>
      </c>
      <c r="G11" s="261" t="s">
        <v>1768</v>
      </c>
      <c r="H11" s="261" t="s">
        <v>1769</v>
      </c>
      <c r="I11" s="262" t="s">
        <v>1760</v>
      </c>
      <c r="J11" s="41" t="s">
        <v>127</v>
      </c>
    </row>
    <row r="12" spans="3:10">
      <c r="F12" s="40" t="s">
        <v>1770</v>
      </c>
      <c r="G12" s="40" t="s">
        <v>354</v>
      </c>
      <c r="H12" s="40" t="s">
        <v>1771</v>
      </c>
      <c r="I12" s="1" t="s">
        <v>1760</v>
      </c>
      <c r="J12" s="41" t="s">
        <v>127</v>
      </c>
    </row>
    <row r="13" spans="3:10">
      <c r="F13" s="40"/>
      <c r="G13" s="40" t="s">
        <v>1772</v>
      </c>
      <c r="H13" s="40" t="s">
        <v>1773</v>
      </c>
      <c r="I13" s="1" t="s">
        <v>1760</v>
      </c>
      <c r="J13" s="41" t="s">
        <v>127</v>
      </c>
    </row>
    <row r="14" spans="3:10">
      <c r="F14" s="40"/>
      <c r="G14" s="40" t="s">
        <v>372</v>
      </c>
      <c r="H14" s="40" t="s">
        <v>1774</v>
      </c>
      <c r="I14" s="1" t="s">
        <v>1760</v>
      </c>
      <c r="J14" s="41" t="s">
        <v>127</v>
      </c>
    </row>
    <row r="15" spans="3:10">
      <c r="F15" s="40"/>
      <c r="G15" s="40" t="s">
        <v>1775</v>
      </c>
      <c r="H15" s="40" t="s">
        <v>1776</v>
      </c>
      <c r="I15" s="1" t="s">
        <v>1760</v>
      </c>
      <c r="J15" s="41" t="s">
        <v>127</v>
      </c>
    </row>
    <row r="16" spans="3:10">
      <c r="F16" s="257" t="s">
        <v>1777</v>
      </c>
      <c r="G16" s="258" t="s">
        <v>1778</v>
      </c>
      <c r="H16" s="258" t="s">
        <v>1779</v>
      </c>
      <c r="I16" s="1" t="s">
        <v>1760</v>
      </c>
      <c r="J16" s="41" t="s">
        <v>127</v>
      </c>
    </row>
    <row r="17" spans="6:10">
      <c r="F17" s="260" t="s">
        <v>1142</v>
      </c>
      <c r="G17" s="261" t="s">
        <v>1780</v>
      </c>
      <c r="H17" s="261" t="s">
        <v>1781</v>
      </c>
      <c r="I17" s="1" t="s">
        <v>1760</v>
      </c>
      <c r="J17" s="41" t="s">
        <v>127</v>
      </c>
    </row>
    <row r="18" spans="6:10">
      <c r="F18" s="260" t="s">
        <v>1142</v>
      </c>
      <c r="G18" s="261" t="s">
        <v>1782</v>
      </c>
      <c r="H18" s="261" t="s">
        <v>1783</v>
      </c>
      <c r="I18" s="1" t="s">
        <v>1760</v>
      </c>
      <c r="J18" s="41" t="s">
        <v>127</v>
      </c>
    </row>
    <row r="19" spans="6:10">
      <c r="F19" s="260" t="s">
        <v>1142</v>
      </c>
      <c r="G19" s="261" t="s">
        <v>1784</v>
      </c>
      <c r="H19" s="261" t="s">
        <v>1785</v>
      </c>
      <c r="I19" s="1" t="s">
        <v>1760</v>
      </c>
      <c r="J19" s="41" t="s">
        <v>127</v>
      </c>
    </row>
    <row r="20" spans="6:10">
      <c r="F20" s="257" t="s">
        <v>1786</v>
      </c>
      <c r="G20" s="258" t="s">
        <v>1787</v>
      </c>
      <c r="H20" s="258" t="s">
        <v>1788</v>
      </c>
      <c r="I20" s="1" t="s">
        <v>1760</v>
      </c>
      <c r="J20" s="41" t="s">
        <v>127</v>
      </c>
    </row>
    <row r="21" spans="6:10">
      <c r="F21" s="260" t="s">
        <v>1142</v>
      </c>
      <c r="G21" s="261" t="s">
        <v>1789</v>
      </c>
      <c r="H21" s="261" t="s">
        <v>1790</v>
      </c>
      <c r="I21" s="1" t="s">
        <v>1760</v>
      </c>
      <c r="J21" s="41" t="s">
        <v>127</v>
      </c>
    </row>
    <row r="22" spans="6:10">
      <c r="F22" s="260" t="s">
        <v>1142</v>
      </c>
      <c r="G22" s="261" t="s">
        <v>1791</v>
      </c>
      <c r="H22" s="261" t="s">
        <v>1792</v>
      </c>
      <c r="I22" s="1" t="s">
        <v>1760</v>
      </c>
      <c r="J22" s="41" t="s">
        <v>127</v>
      </c>
    </row>
    <row r="23" spans="6:10">
      <c r="F23" s="260" t="s">
        <v>1142</v>
      </c>
      <c r="G23" s="261" t="s">
        <v>1793</v>
      </c>
      <c r="H23" s="261" t="s">
        <v>1794</v>
      </c>
      <c r="I23" s="1" t="s">
        <v>1760</v>
      </c>
      <c r="J23" s="41" t="s">
        <v>127</v>
      </c>
    </row>
    <row r="24" spans="6:10">
      <c r="F24" s="260" t="s">
        <v>1795</v>
      </c>
      <c r="G24" s="261" t="s">
        <v>1796</v>
      </c>
      <c r="H24" s="261" t="s">
        <v>1797</v>
      </c>
      <c r="I24" s="1" t="s">
        <v>1760</v>
      </c>
      <c r="J24" s="41" t="s">
        <v>127</v>
      </c>
    </row>
    <row r="25" spans="6:10">
      <c r="F25" s="260" t="s">
        <v>901</v>
      </c>
      <c r="G25" s="261" t="s">
        <v>1798</v>
      </c>
      <c r="H25" s="261" t="s">
        <v>1799</v>
      </c>
      <c r="I25" s="1" t="s">
        <v>1760</v>
      </c>
      <c r="J25" s="41" t="s">
        <v>127</v>
      </c>
    </row>
    <row r="26" spans="6:10">
      <c r="F26" s="260" t="s">
        <v>1142</v>
      </c>
      <c r="G26" s="261" t="s">
        <v>1800</v>
      </c>
      <c r="H26" s="261" t="s">
        <v>1801</v>
      </c>
      <c r="I26" s="1" t="s">
        <v>1760</v>
      </c>
      <c r="J26" s="41" t="s">
        <v>127</v>
      </c>
    </row>
    <row r="27" spans="6:10">
      <c r="F27" s="260" t="s">
        <v>1142</v>
      </c>
      <c r="G27" s="261" t="s">
        <v>1802</v>
      </c>
      <c r="H27" s="261" t="s">
        <v>1803</v>
      </c>
      <c r="I27" s="1" t="s">
        <v>1760</v>
      </c>
      <c r="J27" s="41" t="s">
        <v>127</v>
      </c>
    </row>
    <row r="28" spans="6:10">
      <c r="F28" s="260" t="s">
        <v>1142</v>
      </c>
      <c r="G28" s="261" t="s">
        <v>1804</v>
      </c>
      <c r="H28" s="261" t="s">
        <v>1805</v>
      </c>
      <c r="I28" s="1" t="s">
        <v>1760</v>
      </c>
      <c r="J28" s="41" t="s">
        <v>127</v>
      </c>
    </row>
    <row r="29" spans="6:10">
      <c r="F29" s="260" t="s">
        <v>1142</v>
      </c>
      <c r="G29" s="261" t="s">
        <v>1806</v>
      </c>
      <c r="H29" s="261" t="s">
        <v>1807</v>
      </c>
      <c r="I29" s="1" t="s">
        <v>1760</v>
      </c>
      <c r="J29" s="41" t="s">
        <v>127</v>
      </c>
    </row>
    <row r="30" spans="6:10">
      <c r="F30" s="260" t="s">
        <v>1142</v>
      </c>
      <c r="G30" s="261" t="s">
        <v>1808</v>
      </c>
      <c r="H30" s="261" t="s">
        <v>1809</v>
      </c>
      <c r="I30" s="1" t="s">
        <v>1760</v>
      </c>
      <c r="J30" s="41" t="s">
        <v>127</v>
      </c>
    </row>
    <row r="31" spans="6:10">
      <c r="F31" s="260" t="s">
        <v>1810</v>
      </c>
      <c r="G31" s="261" t="s">
        <v>1811</v>
      </c>
      <c r="H31" s="261" t="s">
        <v>1812</v>
      </c>
      <c r="I31" s="1" t="s">
        <v>1760</v>
      </c>
      <c r="J31" s="41" t="s">
        <v>127</v>
      </c>
    </row>
    <row r="32" spans="6:10">
      <c r="F32" s="260" t="s">
        <v>1142</v>
      </c>
      <c r="G32" s="261" t="s">
        <v>1813</v>
      </c>
      <c r="H32" s="261" t="s">
        <v>1814</v>
      </c>
      <c r="I32" s="1" t="s">
        <v>1760</v>
      </c>
      <c r="J32" s="41" t="s">
        <v>127</v>
      </c>
    </row>
    <row r="33" spans="6:10">
      <c r="F33" s="260" t="s">
        <v>1142</v>
      </c>
      <c r="G33" s="261" t="s">
        <v>1815</v>
      </c>
      <c r="H33" s="261" t="s">
        <v>1816</v>
      </c>
      <c r="I33" s="1" t="s">
        <v>1760</v>
      </c>
      <c r="J33" s="41" t="s">
        <v>127</v>
      </c>
    </row>
    <row r="34" spans="6:10">
      <c r="F34" s="260" t="s">
        <v>1142</v>
      </c>
      <c r="G34" s="261" t="s">
        <v>1817</v>
      </c>
      <c r="H34" s="261" t="s">
        <v>1818</v>
      </c>
      <c r="I34" s="1" t="s">
        <v>1760</v>
      </c>
      <c r="J34" s="41" t="s">
        <v>127</v>
      </c>
    </row>
    <row r="35" spans="6:10">
      <c r="F35" s="260" t="s">
        <v>1142</v>
      </c>
      <c r="G35" s="261" t="s">
        <v>1819</v>
      </c>
      <c r="H35" s="261" t="s">
        <v>1820</v>
      </c>
      <c r="I35" s="1" t="s">
        <v>1760</v>
      </c>
      <c r="J35" s="41" t="s">
        <v>127</v>
      </c>
    </row>
    <row r="36" spans="6:10">
      <c r="F36" s="260" t="s">
        <v>1142</v>
      </c>
      <c r="G36" s="261" t="s">
        <v>1821</v>
      </c>
      <c r="H36" s="261" t="s">
        <v>1822</v>
      </c>
      <c r="I36" s="1" t="s">
        <v>1760</v>
      </c>
      <c r="J36" s="41" t="s">
        <v>127</v>
      </c>
    </row>
    <row r="37" spans="6:10">
      <c r="F37" s="260" t="s">
        <v>1142</v>
      </c>
      <c r="G37" s="261" t="s">
        <v>1823</v>
      </c>
      <c r="H37" s="261" t="s">
        <v>1824</v>
      </c>
      <c r="I37" s="1" t="s">
        <v>1760</v>
      </c>
      <c r="J37" s="41" t="s">
        <v>127</v>
      </c>
    </row>
    <row r="38" spans="6:10">
      <c r="F38" s="260" t="s">
        <v>1142</v>
      </c>
      <c r="G38" s="261" t="s">
        <v>1825</v>
      </c>
      <c r="H38" s="261" t="s">
        <v>1826</v>
      </c>
      <c r="I38" s="1" t="s">
        <v>1760</v>
      </c>
      <c r="J38" s="41" t="s">
        <v>127</v>
      </c>
    </row>
    <row r="39" spans="6:10">
      <c r="F39" s="260" t="s">
        <v>1142</v>
      </c>
      <c r="G39" s="261" t="s">
        <v>1827</v>
      </c>
      <c r="H39" s="261" t="s">
        <v>1828</v>
      </c>
      <c r="I39" s="1" t="s">
        <v>1760</v>
      </c>
      <c r="J39" s="41" t="s">
        <v>127</v>
      </c>
    </row>
    <row r="40" spans="6:10">
      <c r="F40" s="260" t="s">
        <v>1142</v>
      </c>
      <c r="G40" s="261" t="s">
        <v>1829</v>
      </c>
      <c r="H40" s="261" t="s">
        <v>1830</v>
      </c>
      <c r="I40" s="1" t="s">
        <v>1760</v>
      </c>
      <c r="J40" s="41" t="s">
        <v>127</v>
      </c>
    </row>
    <row r="41" spans="6:10">
      <c r="F41" s="260" t="s">
        <v>1142</v>
      </c>
      <c r="G41" s="261" t="s">
        <v>1831</v>
      </c>
      <c r="H41" s="261" t="s">
        <v>1832</v>
      </c>
      <c r="I41" s="1" t="s">
        <v>1760</v>
      </c>
      <c r="J41" s="41" t="s">
        <v>127</v>
      </c>
    </row>
    <row r="42" spans="6:10">
      <c r="F42" s="260" t="s">
        <v>1142</v>
      </c>
      <c r="G42" s="261" t="s">
        <v>1833</v>
      </c>
      <c r="H42" s="261" t="s">
        <v>1834</v>
      </c>
      <c r="I42" s="1" t="s">
        <v>1760</v>
      </c>
      <c r="J42" s="41" t="s">
        <v>127</v>
      </c>
    </row>
    <row r="43" spans="6:10">
      <c r="F43" s="260" t="s">
        <v>1835</v>
      </c>
      <c r="G43" s="261" t="s">
        <v>1836</v>
      </c>
      <c r="H43" s="261" t="s">
        <v>1837</v>
      </c>
      <c r="I43" s="1" t="s">
        <v>1760</v>
      </c>
      <c r="J43" s="41" t="s">
        <v>127</v>
      </c>
    </row>
    <row r="44" spans="6:10">
      <c r="F44" s="260" t="s">
        <v>1142</v>
      </c>
      <c r="G44" s="261" t="s">
        <v>1838</v>
      </c>
      <c r="H44" s="261" t="s">
        <v>1839</v>
      </c>
      <c r="I44" s="1" t="s">
        <v>1760</v>
      </c>
      <c r="J44" s="41" t="s">
        <v>127</v>
      </c>
    </row>
    <row r="45" spans="6:10" ht="13.5" customHeight="1">
      <c r="F45" s="260" t="s">
        <v>1142</v>
      </c>
      <c r="G45" s="261" t="s">
        <v>1840</v>
      </c>
      <c r="H45" s="261" t="s">
        <v>1841</v>
      </c>
      <c r="I45" s="1" t="s">
        <v>1760</v>
      </c>
      <c r="J45" s="41" t="s">
        <v>127</v>
      </c>
    </row>
    <row r="46" spans="6:10">
      <c r="F46" s="260" t="s">
        <v>1142</v>
      </c>
      <c r="G46" s="261" t="s">
        <v>1842</v>
      </c>
      <c r="H46" s="263" t="s">
        <v>1843</v>
      </c>
      <c r="I46" s="1" t="s">
        <v>1760</v>
      </c>
      <c r="J46" s="41" t="s">
        <v>127</v>
      </c>
    </row>
    <row r="47" spans="6:10">
      <c r="F47" s="260" t="s">
        <v>1142</v>
      </c>
      <c r="G47" s="261" t="s">
        <v>1844</v>
      </c>
      <c r="H47" s="261" t="s">
        <v>1845</v>
      </c>
      <c r="I47" s="1" t="s">
        <v>1760</v>
      </c>
      <c r="J47" s="41" t="s">
        <v>127</v>
      </c>
    </row>
    <row r="48" spans="6:10">
      <c r="F48" s="260" t="s">
        <v>1142</v>
      </c>
      <c r="G48" s="261" t="s">
        <v>1846</v>
      </c>
      <c r="H48" s="261" t="s">
        <v>1847</v>
      </c>
      <c r="I48" s="1" t="s">
        <v>1760</v>
      </c>
      <c r="J48" s="41" t="s">
        <v>127</v>
      </c>
    </row>
    <row r="49" spans="6:10">
      <c r="F49" s="260" t="s">
        <v>1142</v>
      </c>
      <c r="G49" s="261" t="s">
        <v>1848</v>
      </c>
      <c r="H49" s="261" t="s">
        <v>1849</v>
      </c>
      <c r="I49" s="1" t="s">
        <v>1760</v>
      </c>
      <c r="J49" s="41" t="s">
        <v>127</v>
      </c>
    </row>
    <row r="50" spans="6:10">
      <c r="F50" s="260" t="s">
        <v>1142</v>
      </c>
      <c r="G50" s="261" t="s">
        <v>1850</v>
      </c>
      <c r="H50" s="261" t="s">
        <v>1851</v>
      </c>
      <c r="I50" s="1" t="s">
        <v>1760</v>
      </c>
      <c r="J50" s="41" t="s">
        <v>127</v>
      </c>
    </row>
    <row r="51" spans="6:10">
      <c r="F51" s="260" t="s">
        <v>1142</v>
      </c>
      <c r="G51" s="261" t="s">
        <v>1852</v>
      </c>
      <c r="H51" s="261" t="s">
        <v>1853</v>
      </c>
      <c r="I51" s="1" t="s">
        <v>1760</v>
      </c>
      <c r="J51" s="41" t="s">
        <v>127</v>
      </c>
    </row>
    <row r="52" spans="6:10">
      <c r="F52" s="260" t="s">
        <v>1142</v>
      </c>
      <c r="G52" s="261" t="s">
        <v>1854</v>
      </c>
      <c r="H52" s="261" t="s">
        <v>1855</v>
      </c>
      <c r="I52" s="1" t="s">
        <v>1760</v>
      </c>
      <c r="J52" s="41" t="s">
        <v>127</v>
      </c>
    </row>
    <row r="53" spans="6:10">
      <c r="F53" s="260" t="s">
        <v>1142</v>
      </c>
      <c r="G53" s="261" t="s">
        <v>1856</v>
      </c>
      <c r="H53" s="261" t="s">
        <v>1857</v>
      </c>
      <c r="I53" s="1" t="s">
        <v>1760</v>
      </c>
      <c r="J53" s="41" t="s">
        <v>127</v>
      </c>
    </row>
    <row r="54" spans="6:10">
      <c r="F54" s="260" t="s">
        <v>1142</v>
      </c>
      <c r="G54" s="261" t="s">
        <v>1858</v>
      </c>
      <c r="H54" s="261" t="s">
        <v>1859</v>
      </c>
      <c r="I54" s="1" t="s">
        <v>1760</v>
      </c>
      <c r="J54" s="41" t="s">
        <v>127</v>
      </c>
    </row>
    <row r="55" spans="6:10">
      <c r="F55" s="260" t="s">
        <v>813</v>
      </c>
      <c r="G55" s="261" t="s">
        <v>1860</v>
      </c>
      <c r="H55" s="261" t="s">
        <v>1861</v>
      </c>
      <c r="I55" s="1" t="s">
        <v>1760</v>
      </c>
      <c r="J55" s="41" t="s">
        <v>127</v>
      </c>
    </row>
    <row r="56" spans="6:10">
      <c r="F56" s="260" t="s">
        <v>1142</v>
      </c>
      <c r="G56" s="261" t="s">
        <v>1862</v>
      </c>
      <c r="H56" s="261" t="s">
        <v>1863</v>
      </c>
      <c r="I56" s="1" t="s">
        <v>1760</v>
      </c>
      <c r="J56" s="41" t="s">
        <v>127</v>
      </c>
    </row>
    <row r="57" spans="6:10">
      <c r="F57" s="260" t="s">
        <v>1142</v>
      </c>
      <c r="G57" s="261" t="s">
        <v>1864</v>
      </c>
      <c r="H57" s="261" t="s">
        <v>1865</v>
      </c>
      <c r="I57" s="1" t="s">
        <v>1760</v>
      </c>
      <c r="J57" s="41" t="s">
        <v>127</v>
      </c>
    </row>
    <row r="58" spans="6:10">
      <c r="F58" s="260" t="s">
        <v>1866</v>
      </c>
      <c r="G58" s="261" t="s">
        <v>1867</v>
      </c>
      <c r="H58" s="261" t="s">
        <v>1868</v>
      </c>
      <c r="I58" s="1" t="s">
        <v>1760</v>
      </c>
      <c r="J58" s="41" t="s">
        <v>127</v>
      </c>
    </row>
    <row r="59" spans="6:10">
      <c r="F59" s="260" t="s">
        <v>1142</v>
      </c>
      <c r="G59" s="261" t="s">
        <v>1869</v>
      </c>
      <c r="H59" s="261" t="s">
        <v>1870</v>
      </c>
      <c r="I59" s="1" t="s">
        <v>1760</v>
      </c>
      <c r="J59" s="41" t="s">
        <v>127</v>
      </c>
    </row>
    <row r="60" spans="6:10">
      <c r="F60" s="260" t="s">
        <v>1142</v>
      </c>
      <c r="G60" s="261" t="s">
        <v>1871</v>
      </c>
      <c r="H60" s="261" t="s">
        <v>1872</v>
      </c>
      <c r="I60" s="1" t="s">
        <v>1760</v>
      </c>
      <c r="J60" s="41" t="s">
        <v>127</v>
      </c>
    </row>
    <row r="61" spans="6:10">
      <c r="F61" s="260" t="s">
        <v>1142</v>
      </c>
      <c r="G61" s="261" t="s">
        <v>1873</v>
      </c>
      <c r="H61" s="261" t="s">
        <v>1874</v>
      </c>
      <c r="I61" s="1" t="s">
        <v>1760</v>
      </c>
      <c r="J61" s="41" t="s">
        <v>127</v>
      </c>
    </row>
    <row r="62" spans="6:10">
      <c r="F62" s="260" t="s">
        <v>1142</v>
      </c>
      <c r="G62" s="261" t="s">
        <v>1875</v>
      </c>
      <c r="H62" s="261" t="s">
        <v>1876</v>
      </c>
      <c r="I62" s="1" t="s">
        <v>1760</v>
      </c>
      <c r="J62" s="41" t="s">
        <v>127</v>
      </c>
    </row>
    <row r="63" spans="6:10">
      <c r="F63" s="260" t="s">
        <v>1142</v>
      </c>
      <c r="G63" s="261" t="s">
        <v>1877</v>
      </c>
      <c r="H63" s="261" t="s">
        <v>1878</v>
      </c>
      <c r="I63" s="1" t="s">
        <v>1760</v>
      </c>
      <c r="J63" s="41" t="s">
        <v>127</v>
      </c>
    </row>
    <row r="64" spans="6:10">
      <c r="F64" s="40"/>
      <c r="G64" s="40"/>
      <c r="H64" s="40"/>
      <c r="I64" s="1"/>
      <c r="J64" s="41"/>
    </row>
    <row r="65" spans="6:10">
      <c r="F65" s="40"/>
      <c r="G65" s="40"/>
      <c r="H65" s="40"/>
      <c r="I65" s="1"/>
      <c r="J65" s="41"/>
    </row>
    <row r="66" spans="6:10">
      <c r="F66" s="40"/>
      <c r="G66" s="40"/>
      <c r="H66" s="40"/>
      <c r="I66" s="1"/>
      <c r="J66" s="41"/>
    </row>
    <row r="67" spans="6:10">
      <c r="F67" s="40"/>
      <c r="G67" s="40"/>
      <c r="H67" s="40"/>
      <c r="I67" s="1"/>
      <c r="J67" s="41"/>
    </row>
    <row r="68" spans="6:10">
      <c r="F68" s="40"/>
      <c r="G68" s="40"/>
      <c r="H68" s="40"/>
      <c r="I68" s="1"/>
      <c r="J68" s="41"/>
    </row>
    <row r="69" spans="6:10">
      <c r="F69" s="40"/>
      <c r="G69" s="40"/>
      <c r="H69" s="40"/>
      <c r="I69" s="1"/>
      <c r="J69" s="41"/>
    </row>
    <row r="70" spans="6:10">
      <c r="F70" s="40"/>
      <c r="G70" s="40"/>
      <c r="H70" s="40"/>
      <c r="I70" s="1"/>
      <c r="J70" s="41"/>
    </row>
    <row r="71" spans="6:10">
      <c r="F71" s="40"/>
      <c r="G71" s="40"/>
      <c r="H71" s="40"/>
      <c r="I71" s="1"/>
      <c r="J71" s="41"/>
    </row>
    <row r="72" spans="6:10">
      <c r="F72" s="40"/>
      <c r="G72" s="40"/>
      <c r="H72" s="40"/>
      <c r="I72" s="1"/>
      <c r="J72" s="41"/>
    </row>
    <row r="73" spans="6:10">
      <c r="F73" s="40"/>
      <c r="G73" s="40"/>
      <c r="H73" s="40"/>
      <c r="I73" s="1"/>
      <c r="J73" s="41"/>
    </row>
    <row r="74" spans="6:10">
      <c r="F74" s="40"/>
      <c r="G74" s="40"/>
      <c r="H74" s="40"/>
      <c r="I74" s="1"/>
      <c r="J74" s="41"/>
    </row>
  </sheetData>
  <mergeCells count="4">
    <mergeCell ref="G1:H1"/>
    <mergeCell ref="G2:H2"/>
    <mergeCell ref="G4:H4"/>
    <mergeCell ref="G5:H5"/>
  </mergeCells>
  <phoneticPr fontId="8" type="noConversion"/>
  <conditionalFormatting sqref="J7:J74">
    <cfRule type="cellIs" dxfId="0" priority="3" operator="equal">
      <formula>"Y"</formula>
    </cfRule>
  </conditionalFormatting>
  <dataValidations disablePrompts="1" count="1">
    <dataValidation type="list" allowBlank="1" showInputMessage="1" showErrorMessage="1" sqref="C2:E2 G2" xr:uid="{00000000-0002-0000-1000-000000000000}">
      <formula1>SectionNames</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5B137C7C8A4154689ED7D4A473B8B11" ma:contentTypeVersion="19" ma:contentTypeDescription="Create a new document." ma:contentTypeScope="" ma:versionID="ea7c2c40bb1c9836d03d240933901703">
  <xsd:schema xmlns:xsd="http://www.w3.org/2001/XMLSchema" xmlns:xs="http://www.w3.org/2001/XMLSchema" xmlns:p="http://schemas.microsoft.com/office/2006/metadata/properties" xmlns:ns1="http://schemas.microsoft.com/sharepoint/v3" xmlns:ns2="88db1410-77cd-44b8-b54f-4ad20417862f" xmlns:ns3="f8c8ed80-2260-4787-be8e-8be7ab0712bd" xmlns:ns4="64fe8c59-3550-437a-9cc1-69277fe2ea73" targetNamespace="http://schemas.microsoft.com/office/2006/metadata/properties" ma:root="true" ma:fieldsID="132ea9f42a56a0b28853f7e45bdea57c" ns1:_="" ns2:_="" ns3:_="" ns4:_="">
    <xsd:import namespace="http://schemas.microsoft.com/sharepoint/v3"/>
    <xsd:import namespace="88db1410-77cd-44b8-b54f-4ad20417862f"/>
    <xsd:import namespace="f8c8ed80-2260-4787-be8e-8be7ab0712bd"/>
    <xsd:import namespace="64fe8c59-3550-437a-9cc1-69277fe2ea7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EventHashCode" minOccurs="0"/>
                <xsd:element ref="ns3:MediaServiceGenerationTime" minOccurs="0"/>
                <xsd:element ref="ns3:_Flow_SignoffStatus" minOccurs="0"/>
                <xsd:element ref="ns3:MediaServiceAutoKeyPoints" minOccurs="0"/>
                <xsd:element ref="ns3:MediaServiceKeyPoints" minOccurs="0"/>
                <xsd:element ref="ns3:MediaServiceDateTaken" minOccurs="0"/>
                <xsd:element ref="ns3:MediaServiceOCR" minOccurs="0"/>
                <xsd:element ref="ns3:lcf76f155ced4ddcb4097134ff3c332f" minOccurs="0"/>
                <xsd:element ref="ns4:TaxCatchAll" minOccurs="0"/>
                <xsd:element ref="ns3:MediaServiceSearchProperties" minOccurs="0"/>
                <xsd:element ref="ns3:MediaServiceObjectDetectorVersion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db1410-77cd-44b8-b54f-4ad20417862f"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8c8ed80-2260-4787-be8e-8be7ab0712bd"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_Flow_SignoffStatus" ma:index="14" nillable="true" ma:displayName="Sign-off status" ma:internalName="Sign_x002d_off_x0020_status">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297f403b-2b63-43ad-9c62-fa967f2a159f" ma:termSetId="09814cd3-568e-fe90-9814-8d621ff8fb84" ma:anchorId="fba54fb3-c3e1-fe81-a776-ca4b69148c4d" ma:open="true" ma:isKeyword="false">
      <xsd:complexType>
        <xsd:sequence>
          <xsd:element ref="pc:Terms" minOccurs="0" maxOccurs="1"/>
        </xsd:sequence>
      </xsd:complex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4fe8c59-3550-437a-9cc1-69277fe2ea73"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aceb1dc-af0a-45c2-a298-8d6453f1b70d}" ma:internalName="TaxCatchAll" ma:showField="CatchAllData" ma:web="88db1410-77cd-44b8-b54f-4ad20417862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Flow_SignoffStatus xmlns="f8c8ed80-2260-4787-be8e-8be7ab0712bd" xsi:nil="true"/>
    <TaxCatchAll xmlns="64fe8c59-3550-437a-9cc1-69277fe2ea73" xsi:nil="true"/>
    <lcf76f155ced4ddcb4097134ff3c332f xmlns="f8c8ed80-2260-4787-be8e-8be7ab0712bd">
      <Terms xmlns="http://schemas.microsoft.com/office/infopath/2007/PartnerControls"/>
    </lcf76f155ced4ddcb4097134ff3c332f>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F37FD54-9B2C-4BAD-906E-4B2D7F6927F5}">
  <ds:schemaRefs>
    <ds:schemaRef ds:uri="http://schemas.microsoft.com/sharepoint/v3/contenttype/forms"/>
  </ds:schemaRefs>
</ds:datastoreItem>
</file>

<file path=customXml/itemProps2.xml><?xml version="1.0" encoding="utf-8"?>
<ds:datastoreItem xmlns:ds="http://schemas.openxmlformats.org/officeDocument/2006/customXml" ds:itemID="{38A0D308-EBBA-4DAF-94CF-843DFC495637}"/>
</file>

<file path=customXml/itemProps3.xml><?xml version="1.0" encoding="utf-8"?>
<ds:datastoreItem xmlns:ds="http://schemas.openxmlformats.org/officeDocument/2006/customXml" ds:itemID="{0F41176B-DCAB-4132-9B1E-0F1849333C91}">
  <ds:schemaRefs>
    <ds:schemaRef ds:uri="http://schemas.openxmlformats.org/package/2006/metadata/core-properties"/>
    <ds:schemaRef ds:uri="http://schemas.microsoft.com/office/2006/metadata/properties"/>
    <ds:schemaRef ds:uri="http://schemas.microsoft.com/office/2006/documentManagement/types"/>
    <ds:schemaRef ds:uri="88db1410-77cd-44b8-b54f-4ad20417862f"/>
    <ds:schemaRef ds:uri="http://schemas.microsoft.com/office/infopath/2007/PartnerControls"/>
    <ds:schemaRef ds:uri="64fe8c59-3550-437a-9cc1-69277fe2ea73"/>
    <ds:schemaRef ds:uri="http://purl.org/dc/terms/"/>
    <ds:schemaRef ds:uri="http://www.w3.org/XML/1998/namespace"/>
    <ds:schemaRef ds:uri="http://purl.org/dc/dcmitype/"/>
    <ds:schemaRef ds:uri="f8c8ed80-2260-4787-be8e-8be7ab0712bd"/>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VIEW FIRST</vt:lpstr>
      <vt:lpstr>Template 1</vt:lpstr>
      <vt:lpstr>Template 2</vt:lpstr>
      <vt:lpstr>Metadata</vt:lpstr>
      <vt:lpstr>Test</vt:lpstr>
      <vt:lpstr>Change History</vt:lpstr>
      <vt:lpstr>Timeline</vt:lpstr>
      <vt:lpstr>Tech Specs &amp; QS Features</vt:lpstr>
      <vt:lpstr>QS Callouts &amp; Overview</vt:lpstr>
      <vt:lpstr>Sheet1</vt:lpstr>
      <vt:lpstr>QS-Only System Unit</vt:lpstr>
      <vt:lpstr>QS-Only Displays</vt:lpstr>
      <vt:lpstr>QS-Only Storage</vt:lpstr>
      <vt:lpstr>QS-Only Network</vt:lpstr>
      <vt:lpstr>QS-Only Power</vt:lpstr>
      <vt:lpstr>QS-Only Audio</vt:lpstr>
      <vt:lpstr>QS-Only Fingerprint Reader</vt:lpstr>
      <vt:lpstr>QS-Environmental</vt:lpstr>
      <vt:lpstr>QS-Only Options</vt:lpstr>
      <vt:lpstr>SectionNames</vt:lpstr>
      <vt:lpstr>TableTypeNames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Daun, Martin</dc:creator>
  <cp:keywords/>
  <dc:description/>
  <cp:lastModifiedBy>De la Cruz, Javier</cp:lastModifiedBy>
  <cp:revision/>
  <dcterms:created xsi:type="dcterms:W3CDTF">2016-09-17T18:04:10Z</dcterms:created>
  <dcterms:modified xsi:type="dcterms:W3CDTF">2023-05-15T16:21:04Z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0x01010085B137C7C8A4154689ED7D4A473B8B11</vt:lpwstr>
  </property>
  <property fmtid="{D5CDD505-2E9C-101B-9397-08002B2CF9AE}" pid="3" name="AuthorIds_UIVersion_14336">
    <vt:lpwstr>18</vt:lpwstr>
  </property>
  <property fmtid="{D5CDD505-2E9C-101B-9397-08002B2CF9AE}" pid="4" name="MediaServiceImageTags">
    <vt:lpwstr/>
  </property>
</Properties>
</file>